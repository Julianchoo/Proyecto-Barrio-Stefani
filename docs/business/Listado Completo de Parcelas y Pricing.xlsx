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\Python_Juli\Barrio Stefani 2\docs\business\"/>
    </mc:Choice>
  </mc:AlternateContent>
  <xr:revisionPtr revIDLastSave="0" documentId="13_ncr:1_{B8F4351D-08CC-42C3-A5EA-BC11CE1363F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Listado Unificado de Parcelas" sheetId="1" r:id="rId1"/>
    <sheet name="Original Lotes Escritura" sheetId="2" r:id="rId2"/>
    <sheet name="Original Lotes a Escriturar" sheetId="3" r:id="rId3"/>
    <sheet name="Original Resumen por Manzana AE" sheetId="4" r:id="rId4"/>
  </sheets>
  <externalReferences>
    <externalReference r:id="rId5"/>
  </externalReferences>
  <definedNames>
    <definedName name="_xlnm._FilterDatabase" localSheetId="0" hidden="1">'Listado Unificado de Parcelas'!$A$1:$W$352</definedName>
    <definedName name="_xlnm._FilterDatabase" localSheetId="2" hidden="1">'Original Lotes a Escriturar'!$A$2:$L$123</definedName>
    <definedName name="_xlnm._FilterDatabase" localSheetId="1" hidden="1">'Original Lotes Escritura'!$A$1:$L$231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0" i="1" l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B7" i="4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<sst xmlns="http://schemas.openxmlformats.org/spreadsheetml/2006/main" count="1595" uniqueCount="234">
  <si>
    <t>N°</t>
  </si>
  <si>
    <t>Circunscripción</t>
  </si>
  <si>
    <t>Sección</t>
  </si>
  <si>
    <t>Manzana</t>
  </si>
  <si>
    <t>Parcela</t>
  </si>
  <si>
    <t>Partida ARBA</t>
  </si>
  <si>
    <t>Partida Municipal</t>
  </si>
  <si>
    <t>Escritura</t>
  </si>
  <si>
    <t>Matrícula / Folio</t>
  </si>
  <si>
    <t>Certificado Catastral</t>
  </si>
  <si>
    <t>Valuación Fiscal</t>
  </si>
  <si>
    <t>VF al Acto</t>
  </si>
  <si>
    <t>Superficie M2</t>
  </si>
  <si>
    <t>Estado</t>
  </si>
  <si>
    <t>Precio Etapa 1</t>
  </si>
  <si>
    <t>Valor / m2</t>
  </si>
  <si>
    <t>Anticipo %</t>
  </si>
  <si>
    <t>Tasa mensual</t>
  </si>
  <si>
    <t>Anticipo USD</t>
  </si>
  <si>
    <t>Saldo USD</t>
  </si>
  <si>
    <t>48 cuotas de</t>
  </si>
  <si>
    <t>60 cuotas de</t>
  </si>
  <si>
    <t>Nota</t>
  </si>
  <si>
    <t>F</t>
  </si>
  <si>
    <t>PUBLICADO</t>
  </si>
  <si>
    <t>Laterales chicos, sobre Richieri</t>
  </si>
  <si>
    <t>Verticales medianos</t>
  </si>
  <si>
    <t>6620-2</t>
  </si>
  <si>
    <t>Laterales chicos sobre Patricias Argentinas</t>
  </si>
  <si>
    <t>6621-9</t>
  </si>
  <si>
    <t>44934-4</t>
  </si>
  <si>
    <t>6622-6</t>
  </si>
  <si>
    <t>6623-3</t>
  </si>
  <si>
    <t>6624-0</t>
  </si>
  <si>
    <t>6625-7</t>
  </si>
  <si>
    <t>6626-4</t>
  </si>
  <si>
    <t>6627-1</t>
  </si>
  <si>
    <t>6628-8</t>
  </si>
  <si>
    <t>6629-5</t>
  </si>
  <si>
    <t>6630-1</t>
  </si>
  <si>
    <t>6631-8</t>
  </si>
  <si>
    <t>6632-5</t>
  </si>
  <si>
    <t>RESERVADO</t>
  </si>
  <si>
    <t>6633-2</t>
  </si>
  <si>
    <t>6634-9</t>
  </si>
  <si>
    <t>NO PUBLICADO</t>
  </si>
  <si>
    <t>Laterales chicos sobre Boulevard, no se venden ahora</t>
  </si>
  <si>
    <t>6635-6</t>
  </si>
  <si>
    <t>30295-3</t>
  </si>
  <si>
    <t>6636-3</t>
  </si>
  <si>
    <t>6637-0</t>
  </si>
  <si>
    <t>6638-7</t>
  </si>
  <si>
    <t>6639-4</t>
  </si>
  <si>
    <t>6640-0</t>
  </si>
  <si>
    <t>6641-7</t>
  </si>
  <si>
    <t>6642-4</t>
  </si>
  <si>
    <t>6643-1</t>
  </si>
  <si>
    <t>6644-8</t>
  </si>
  <si>
    <t>6645-5</t>
  </si>
  <si>
    <t>6646-2</t>
  </si>
  <si>
    <t>46621-7</t>
  </si>
  <si>
    <t>46622-4</t>
  </si>
  <si>
    <t>46623-1</t>
  </si>
  <si>
    <t>46624-8</t>
  </si>
  <si>
    <t>46625-5</t>
  </si>
  <si>
    <t>46626-2</t>
  </si>
  <si>
    <t>4667-9</t>
  </si>
  <si>
    <t>46628-6</t>
  </si>
  <si>
    <t>46629-3</t>
  </si>
  <si>
    <t>46630-9</t>
  </si>
  <si>
    <t>46631-6</t>
  </si>
  <si>
    <t>46632-3</t>
  </si>
  <si>
    <t>46699-0</t>
  </si>
  <si>
    <t>46634-7</t>
  </si>
  <si>
    <t>4665-4</t>
  </si>
  <si>
    <t>46636-1</t>
  </si>
  <si>
    <t>46637-8</t>
  </si>
  <si>
    <t>46638-5</t>
  </si>
  <si>
    <t>44935-1</t>
  </si>
  <si>
    <t>46639-2</t>
  </si>
  <si>
    <t>46640-8</t>
  </si>
  <si>
    <t>46641-5</t>
  </si>
  <si>
    <t>46642-2</t>
  </si>
  <si>
    <t>46643-9</t>
  </si>
  <si>
    <t>46644-6</t>
  </si>
  <si>
    <t>45545-3</t>
  </si>
  <si>
    <t>46646-0</t>
  </si>
  <si>
    <t>V</t>
  </si>
  <si>
    <t>46647-7</t>
  </si>
  <si>
    <t>U$S 103.600</t>
  </si>
  <si>
    <t>46648-4</t>
  </si>
  <si>
    <t>46649-1</t>
  </si>
  <si>
    <t>46658-3</t>
  </si>
  <si>
    <t>46659-0</t>
  </si>
  <si>
    <t>46661-3</t>
  </si>
  <si>
    <t>46420-4</t>
  </si>
  <si>
    <t>46421-4</t>
  </si>
  <si>
    <t>46423-5</t>
  </si>
  <si>
    <t>46424-2</t>
  </si>
  <si>
    <t>46426-6</t>
  </si>
  <si>
    <t>46427-3</t>
  </si>
  <si>
    <t>46428-0</t>
  </si>
  <si>
    <t>46430-3</t>
  </si>
  <si>
    <t>46431-0</t>
  </si>
  <si>
    <t>46466-2</t>
  </si>
  <si>
    <t>U$S 41.200</t>
  </si>
  <si>
    <t>46467-9</t>
  </si>
  <si>
    <t>46469-3</t>
  </si>
  <si>
    <t>46470-9</t>
  </si>
  <si>
    <t>46471-6</t>
  </si>
  <si>
    <t>46472-3</t>
  </si>
  <si>
    <t>46473-0</t>
  </si>
  <si>
    <t>46474-7</t>
  </si>
  <si>
    <t>46475-4</t>
  </si>
  <si>
    <t>16A</t>
  </si>
  <si>
    <t>46476-1</t>
  </si>
  <si>
    <t>17A</t>
  </si>
  <si>
    <t>46477-8</t>
  </si>
  <si>
    <t>18A</t>
  </si>
  <si>
    <t>46478-5</t>
  </si>
  <si>
    <t>19A</t>
  </si>
  <si>
    <t>46479-2</t>
  </si>
  <si>
    <t>20A</t>
  </si>
  <si>
    <t>46480-8</t>
  </si>
  <si>
    <t>21A</t>
  </si>
  <si>
    <t>46481-5</t>
  </si>
  <si>
    <t>22A</t>
  </si>
  <si>
    <t>46482-2</t>
  </si>
  <si>
    <t>23A</t>
  </si>
  <si>
    <t>46483-9</t>
  </si>
  <si>
    <t>46484-6</t>
  </si>
  <si>
    <t>46485-3</t>
  </si>
  <si>
    <t>46487-7</t>
  </si>
  <si>
    <t>46488-4</t>
  </si>
  <si>
    <t>46489-1</t>
  </si>
  <si>
    <t>46490-7</t>
  </si>
  <si>
    <t>U$S 45.040</t>
  </si>
  <si>
    <t>46492-1</t>
  </si>
  <si>
    <t>46493-8</t>
  </si>
  <si>
    <t>46494-5</t>
  </si>
  <si>
    <t>46495-2</t>
  </si>
  <si>
    <t>46496-9</t>
  </si>
  <si>
    <t>46497-6</t>
  </si>
  <si>
    <t>128449-2</t>
  </si>
  <si>
    <t>46498-3</t>
  </si>
  <si>
    <t>46499-0</t>
  </si>
  <si>
    <t>46500-9</t>
  </si>
  <si>
    <t>46501-6</t>
  </si>
  <si>
    <t>46502-3</t>
  </si>
  <si>
    <t>46503-0</t>
  </si>
  <si>
    <t>15A</t>
  </si>
  <si>
    <t>46504-7</t>
  </si>
  <si>
    <t>Lote inscripto a nombre de Juan Stefani</t>
  </si>
  <si>
    <t>46505-4</t>
  </si>
  <si>
    <t>46506-1</t>
  </si>
  <si>
    <t>46508-5</t>
  </si>
  <si>
    <t>46510-8</t>
  </si>
  <si>
    <t>6679-0</t>
  </si>
  <si>
    <t>46511-5</t>
  </si>
  <si>
    <t>46512-2</t>
  </si>
  <si>
    <t>46513-9</t>
  </si>
  <si>
    <t>46514-6</t>
  </si>
  <si>
    <t>46515-3</t>
  </si>
  <si>
    <t>46516-0</t>
  </si>
  <si>
    <t>46432-7</t>
  </si>
  <si>
    <t>U$S 122.400</t>
  </si>
  <si>
    <t>46517-7</t>
  </si>
  <si>
    <t>46518-4</t>
  </si>
  <si>
    <t>46519-1</t>
  </si>
  <si>
    <t>46520-7</t>
  </si>
  <si>
    <t>46521-4</t>
  </si>
  <si>
    <t>46522-1</t>
  </si>
  <si>
    <t>46523-8</t>
  </si>
  <si>
    <t>46525-2</t>
  </si>
  <si>
    <t>46526-9</t>
  </si>
  <si>
    <t>6680-6</t>
  </si>
  <si>
    <t>46527-6</t>
  </si>
  <si>
    <t>44937-5</t>
  </si>
  <si>
    <t>46346-1</t>
  </si>
  <si>
    <t>46347-8</t>
  </si>
  <si>
    <t>46348-5</t>
  </si>
  <si>
    <t>46349-2</t>
  </si>
  <si>
    <t>46350-8</t>
  </si>
  <si>
    <t>46351-5</t>
  </si>
  <si>
    <t>46352-2</t>
  </si>
  <si>
    <t>46353-9</t>
  </si>
  <si>
    <t>46354-6</t>
  </si>
  <si>
    <t>46355-3</t>
  </si>
  <si>
    <t>46356-0</t>
  </si>
  <si>
    <t>46357-7</t>
  </si>
  <si>
    <t>46358-4</t>
  </si>
  <si>
    <t>46359-1</t>
  </si>
  <si>
    <t>2A</t>
  </si>
  <si>
    <t>46873-2</t>
  </si>
  <si>
    <t>U$S 85.840</t>
  </si>
  <si>
    <t>3A</t>
  </si>
  <si>
    <t>46874-9</t>
  </si>
  <si>
    <t>4A</t>
  </si>
  <si>
    <t>46875-6</t>
  </si>
  <si>
    <t>5A</t>
  </si>
  <si>
    <t>46876-3</t>
  </si>
  <si>
    <t>6A</t>
  </si>
  <si>
    <t>46877-0</t>
  </si>
  <si>
    <t>46879-4</t>
  </si>
  <si>
    <t>46880-0</t>
  </si>
  <si>
    <t>46881-7</t>
  </si>
  <si>
    <t>46882-4</t>
  </si>
  <si>
    <t>46883-1</t>
  </si>
  <si>
    <t>46884-8</t>
  </si>
  <si>
    <t>46885-5</t>
  </si>
  <si>
    <t>46886-2</t>
  </si>
  <si>
    <t>46887-9</t>
  </si>
  <si>
    <t>46888-6</t>
  </si>
  <si>
    <t>46889-3</t>
  </si>
  <si>
    <t>46890-9</t>
  </si>
  <si>
    <t>46891-6</t>
  </si>
  <si>
    <t>46892-3</t>
  </si>
  <si>
    <t>46893-0</t>
  </si>
  <si>
    <t>46894-7</t>
  </si>
  <si>
    <t>46896-1</t>
  </si>
  <si>
    <t>46897-8</t>
  </si>
  <si>
    <t>46898-5</t>
  </si>
  <si>
    <t>46899-2</t>
  </si>
  <si>
    <t>46902-5</t>
  </si>
  <si>
    <t>46904-9</t>
  </si>
  <si>
    <t>N° Hugo</t>
  </si>
  <si>
    <t>Circ.</t>
  </si>
  <si>
    <t>Secc.</t>
  </si>
  <si>
    <t>Matrícula</t>
  </si>
  <si>
    <t>Valor Escritura</t>
  </si>
  <si>
    <t>Observaciones</t>
  </si>
  <si>
    <t>Cantidad Lotes</t>
  </si>
  <si>
    <t>TOTAL</t>
  </si>
  <si>
    <t>NO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</si>
</sst>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_(* #,##0_);_(* \(#,##0\);_(* &quot;-&quot;??_);_(@_)"/>
    <numFmt numFmtId="165" formatCode="&quot;$&quot;\ #,##0.00"/>
    <numFmt numFmtId="166" formatCode="&quot;$&quot;#,##0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Arial"/>
    </font>
    <font>
      <sz val="9"/>
      <color theme="4"/>
      <name val="Arial"/>
    </font>
    <font>
      <sz val="9"/>
      <color theme="1"/>
      <name val="Arial"/>
    </font>
    <font>
      <sz val="11"/>
      <color rgb="FF000000"/>
      <name val="Calibri"/>
    </font>
    <font>
      <sz val="9"/>
      <color theme="6"/>
      <name val="Arial"/>
    </font>
    <font>
      <sz val="9"/>
      <color rgb="FF0000FF"/>
      <name val="Arial"/>
    </font>
    <font>
      <sz val="9"/>
      <color rgb="FFFF0000"/>
      <name val="Arial"/>
    </font>
    <font>
      <sz val="9"/>
      <color rgb="FF000000"/>
      <name val="Arial"/>
    </font>
    <font>
      <sz val="11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4CCFF"/>
        <bgColor rgb="FFF4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left"/>
    </xf>
    <xf numFmtId="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6" fontId="2" fillId="2" borderId="1" xfId="0" applyNumberFormat="1" applyFont="1" applyFill="1" applyBorder="1" applyAlignment="1">
      <alignment horizontal="right" vertical="center" wrapText="1"/>
    </xf>
    <xf numFmtId="9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0" fontId="5" fillId="0" borderId="0" xfId="0" applyFont="1" applyAlignment="1">
      <alignment horizontal="left"/>
    </xf>
    <xf numFmtId="0" fontId="1" fillId="0" borderId="0" xfId="0" applyFont="1"/>
    <xf numFmtId="6" fontId="6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right" vertical="center"/>
    </xf>
    <xf numFmtId="6" fontId="4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6" fontId="8" fillId="0" borderId="0" xfId="0" applyNumberFormat="1" applyFont="1" applyAlignment="1">
      <alignment horizontal="center" vertical="center"/>
    </xf>
    <xf numFmtId="6" fontId="9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6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right" vertical="center"/>
    </xf>
    <xf numFmtId="0" fontId="10" fillId="0" borderId="0" xfId="0" applyFont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ANALISIS%20BASICO%20VENTA%20-%20CON%20TASACION.xlsx" TargetMode="External"/><Relationship Id="rId2" Type="http://schemas.openxmlformats.org/officeDocument/2006/relationships/externalLinkPath" Target="file:///C:\Users\julia\Downloads\ANALISIS%20BASICO%20VENTA%20-%20CON%20TASACION.xlsx" TargetMode="External"/><Relationship Id="rId1" Type="http://schemas.openxmlformats.org/officeDocument/2006/relationships/externalLinkPath" Target="/Users/julia/Downloads/ANALISIS%20BASICO%20VENTA%20-%20CON%20TAS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do Lotes"/>
      <sheetName val="TASACIONES"/>
      <sheetName val="Comparables"/>
    </sheetNames>
    <sheetDataSet>
      <sheetData sheetId="0">
        <row r="3">
          <cell r="E3">
            <v>230.52</v>
          </cell>
          <cell r="K3" t="str">
            <v>1-1</v>
          </cell>
        </row>
        <row r="4">
          <cell r="E4">
            <v>233.98</v>
          </cell>
          <cell r="K4" t="str">
            <v>1-2</v>
          </cell>
        </row>
        <row r="5">
          <cell r="E5">
            <v>233.98</v>
          </cell>
          <cell r="K5" t="str">
            <v>1-3</v>
          </cell>
        </row>
        <row r="6">
          <cell r="E6">
            <v>233.98</v>
          </cell>
          <cell r="K6" t="str">
            <v>1-4</v>
          </cell>
        </row>
        <row r="7">
          <cell r="E7">
            <v>233.98</v>
          </cell>
          <cell r="K7" t="str">
            <v>1-5</v>
          </cell>
        </row>
        <row r="8">
          <cell r="E8">
            <v>233.98</v>
          </cell>
          <cell r="K8" t="str">
            <v>1-6</v>
          </cell>
        </row>
        <row r="9">
          <cell r="E9">
            <v>229.5</v>
          </cell>
          <cell r="K9" t="str">
            <v>1-7</v>
          </cell>
        </row>
        <row r="10">
          <cell r="E10">
            <v>398.26</v>
          </cell>
          <cell r="K10" t="str">
            <v>1-8</v>
          </cell>
        </row>
        <row r="11">
          <cell r="E11">
            <v>398.26</v>
          </cell>
          <cell r="K11" t="str">
            <v>1-9</v>
          </cell>
        </row>
        <row r="12">
          <cell r="E12">
            <v>398.26</v>
          </cell>
          <cell r="K12" t="str">
            <v>1-10</v>
          </cell>
        </row>
        <row r="13">
          <cell r="E13">
            <v>398.26</v>
          </cell>
          <cell r="K13" t="str">
            <v>1-11</v>
          </cell>
        </row>
        <row r="14">
          <cell r="E14">
            <v>398.26</v>
          </cell>
          <cell r="K14" t="str">
            <v>1-12</v>
          </cell>
        </row>
        <row r="15">
          <cell r="E15">
            <v>398.26</v>
          </cell>
          <cell r="K15" t="str">
            <v>1-13</v>
          </cell>
        </row>
        <row r="16">
          <cell r="E16">
            <v>398.26</v>
          </cell>
          <cell r="K16" t="str">
            <v>1-14</v>
          </cell>
        </row>
        <row r="17">
          <cell r="E17">
            <v>398.26</v>
          </cell>
          <cell r="K17" t="str">
            <v>1-15</v>
          </cell>
        </row>
        <row r="18">
          <cell r="E18">
            <v>229.5</v>
          </cell>
          <cell r="K18" t="str">
            <v>1-16</v>
          </cell>
        </row>
        <row r="19">
          <cell r="E19">
            <v>233.98</v>
          </cell>
          <cell r="K19" t="str">
            <v>1-17</v>
          </cell>
        </row>
        <row r="20">
          <cell r="E20">
            <v>233.98</v>
          </cell>
          <cell r="K20" t="str">
            <v>1-18</v>
          </cell>
        </row>
        <row r="21">
          <cell r="E21">
            <v>233.98</v>
          </cell>
          <cell r="K21" t="str">
            <v>1-19</v>
          </cell>
        </row>
        <row r="22">
          <cell r="E22">
            <v>233.98</v>
          </cell>
          <cell r="K22" t="str">
            <v>1-20</v>
          </cell>
        </row>
        <row r="23">
          <cell r="E23">
            <v>233.98</v>
          </cell>
          <cell r="K23" t="str">
            <v>1-21</v>
          </cell>
        </row>
        <row r="24">
          <cell r="E24">
            <v>230.52</v>
          </cell>
          <cell r="K24" t="str">
            <v>1-22</v>
          </cell>
        </row>
        <row r="25">
          <cell r="E25">
            <v>235</v>
          </cell>
          <cell r="K25" t="str">
            <v>1-23</v>
          </cell>
        </row>
        <row r="26">
          <cell r="E26">
            <v>399.15</v>
          </cell>
          <cell r="K26" t="str">
            <v>1-24</v>
          </cell>
        </row>
        <row r="27">
          <cell r="E27">
            <v>399.15</v>
          </cell>
          <cell r="K27" t="str">
            <v>1-25</v>
          </cell>
        </row>
        <row r="28">
          <cell r="E28">
            <v>399.15</v>
          </cell>
          <cell r="K28" t="str">
            <v>1-26</v>
          </cell>
        </row>
        <row r="29">
          <cell r="E29">
            <v>399.15</v>
          </cell>
          <cell r="K29" t="str">
            <v>1-27</v>
          </cell>
        </row>
        <row r="30">
          <cell r="E30">
            <v>399.15</v>
          </cell>
          <cell r="K30" t="str">
            <v>1-28</v>
          </cell>
        </row>
        <row r="31">
          <cell r="E31">
            <v>399.15</v>
          </cell>
          <cell r="K31" t="str">
            <v>1-29</v>
          </cell>
        </row>
        <row r="32">
          <cell r="E32">
            <v>399.15</v>
          </cell>
          <cell r="K32" t="str">
            <v>1-30</v>
          </cell>
        </row>
        <row r="33">
          <cell r="E33">
            <v>399.15</v>
          </cell>
          <cell r="K33" t="str">
            <v>1-31</v>
          </cell>
        </row>
        <row r="34">
          <cell r="E34">
            <v>235</v>
          </cell>
          <cell r="K34" t="str">
            <v>1-32</v>
          </cell>
        </row>
        <row r="35">
          <cell r="E35">
            <v>229.5</v>
          </cell>
          <cell r="K35" t="str">
            <v>2-1</v>
          </cell>
        </row>
        <row r="36">
          <cell r="E36">
            <v>233.98</v>
          </cell>
          <cell r="K36" t="str">
            <v>2-2</v>
          </cell>
        </row>
        <row r="37">
          <cell r="E37">
            <v>233.98</v>
          </cell>
          <cell r="K37" t="str">
            <v>2-3</v>
          </cell>
        </row>
        <row r="38">
          <cell r="E38">
            <v>233.98</v>
          </cell>
          <cell r="K38" t="str">
            <v>2-4</v>
          </cell>
        </row>
        <row r="39">
          <cell r="E39">
            <v>233.98</v>
          </cell>
          <cell r="K39" t="str">
            <v>2-5</v>
          </cell>
        </row>
        <row r="40">
          <cell r="E40">
            <v>229.5</v>
          </cell>
          <cell r="K40" t="str">
            <v>2-6</v>
          </cell>
        </row>
        <row r="41">
          <cell r="E41">
            <v>298.69</v>
          </cell>
          <cell r="K41" t="str">
            <v>2-7</v>
          </cell>
        </row>
        <row r="42">
          <cell r="E42">
            <v>298.69</v>
          </cell>
          <cell r="K42" t="str">
            <v>2-8</v>
          </cell>
        </row>
        <row r="43">
          <cell r="E43">
            <v>298.69</v>
          </cell>
          <cell r="K43" t="str">
            <v>2-9</v>
          </cell>
        </row>
        <row r="44">
          <cell r="E44">
            <v>298.69</v>
          </cell>
          <cell r="K44" t="str">
            <v>2-10</v>
          </cell>
        </row>
        <row r="45">
          <cell r="E45">
            <v>298.69</v>
          </cell>
          <cell r="K45" t="str">
            <v>2-11</v>
          </cell>
        </row>
        <row r="46">
          <cell r="E46">
            <v>298.69</v>
          </cell>
          <cell r="K46" t="str">
            <v>2-12</v>
          </cell>
        </row>
        <row r="47">
          <cell r="E47">
            <v>298.69</v>
          </cell>
          <cell r="K47" t="str">
            <v>2-13</v>
          </cell>
        </row>
        <row r="48">
          <cell r="E48">
            <v>298.69</v>
          </cell>
          <cell r="K48" t="str">
            <v>2-14</v>
          </cell>
        </row>
        <row r="49">
          <cell r="E49">
            <v>229.5</v>
          </cell>
          <cell r="K49" t="str">
            <v>2-15</v>
          </cell>
        </row>
        <row r="50">
          <cell r="E50">
            <v>233.98</v>
          </cell>
          <cell r="K50" t="str">
            <v>2-16</v>
          </cell>
        </row>
        <row r="51">
          <cell r="E51">
            <v>233.98</v>
          </cell>
          <cell r="K51" t="str">
            <v>2-17</v>
          </cell>
        </row>
        <row r="52">
          <cell r="E52">
            <v>233.98</v>
          </cell>
          <cell r="K52" t="str">
            <v>2-18</v>
          </cell>
        </row>
        <row r="53">
          <cell r="E53">
            <v>233.98</v>
          </cell>
          <cell r="K53" t="str">
            <v>2-19</v>
          </cell>
        </row>
        <row r="54">
          <cell r="E54">
            <v>229.5</v>
          </cell>
          <cell r="K54" t="str">
            <v>2-20</v>
          </cell>
        </row>
        <row r="55">
          <cell r="E55">
            <v>298.69</v>
          </cell>
          <cell r="K55" t="str">
            <v>2-21</v>
          </cell>
        </row>
        <row r="56">
          <cell r="E56">
            <v>298.69</v>
          </cell>
          <cell r="K56" t="str">
            <v>2-22</v>
          </cell>
        </row>
        <row r="57">
          <cell r="E57">
            <v>298.69</v>
          </cell>
          <cell r="K57" t="str">
            <v>2-23</v>
          </cell>
        </row>
        <row r="58">
          <cell r="E58">
            <v>298.69</v>
          </cell>
          <cell r="K58" t="str">
            <v>2-24</v>
          </cell>
        </row>
        <row r="59">
          <cell r="E59">
            <v>298.69</v>
          </cell>
          <cell r="K59" t="str">
            <v>2-25</v>
          </cell>
        </row>
        <row r="60">
          <cell r="E60">
            <v>298.69</v>
          </cell>
          <cell r="K60" t="str">
            <v>2-26</v>
          </cell>
        </row>
        <row r="61">
          <cell r="E61">
            <v>298.69</v>
          </cell>
          <cell r="K61" t="str">
            <v>2-27</v>
          </cell>
        </row>
        <row r="62">
          <cell r="E62">
            <v>298.69</v>
          </cell>
          <cell r="K62" t="str">
            <v>2-28</v>
          </cell>
        </row>
        <row r="63">
          <cell r="E63">
            <v>229.5</v>
          </cell>
          <cell r="K63" t="str">
            <v>3-1</v>
          </cell>
        </row>
        <row r="64">
          <cell r="E64">
            <v>233.98</v>
          </cell>
          <cell r="K64" t="str">
            <v>3-2</v>
          </cell>
        </row>
        <row r="65">
          <cell r="E65">
            <v>233.98</v>
          </cell>
          <cell r="K65" t="str">
            <v>3-3</v>
          </cell>
        </row>
        <row r="66">
          <cell r="E66">
            <v>233.98</v>
          </cell>
          <cell r="K66" t="str">
            <v>3-4</v>
          </cell>
        </row>
        <row r="67">
          <cell r="E67">
            <v>233.98</v>
          </cell>
          <cell r="K67" t="str">
            <v>3-5</v>
          </cell>
        </row>
        <row r="68">
          <cell r="E68">
            <v>229.5</v>
          </cell>
          <cell r="K68" t="str">
            <v>3-6</v>
          </cell>
        </row>
        <row r="69">
          <cell r="E69">
            <v>298.69</v>
          </cell>
          <cell r="K69" t="str">
            <v>3-7</v>
          </cell>
        </row>
        <row r="70">
          <cell r="E70">
            <v>298.69</v>
          </cell>
          <cell r="K70" t="str">
            <v>3-8</v>
          </cell>
        </row>
        <row r="71">
          <cell r="E71">
            <v>298.69</v>
          </cell>
          <cell r="K71" t="str">
            <v>3-9</v>
          </cell>
        </row>
        <row r="72">
          <cell r="E72">
            <v>298.69</v>
          </cell>
          <cell r="K72" t="str">
            <v>3-10</v>
          </cell>
        </row>
        <row r="73">
          <cell r="E73">
            <v>298.69</v>
          </cell>
          <cell r="K73" t="str">
            <v>3-11</v>
          </cell>
        </row>
        <row r="74">
          <cell r="E74">
            <v>298.69</v>
          </cell>
          <cell r="K74" t="str">
            <v>3-12</v>
          </cell>
        </row>
        <row r="75">
          <cell r="E75">
            <v>298.69</v>
          </cell>
          <cell r="K75" t="str">
            <v>3-13</v>
          </cell>
        </row>
        <row r="76">
          <cell r="E76">
            <v>298.69</v>
          </cell>
          <cell r="K76" t="str">
            <v>3-14</v>
          </cell>
        </row>
        <row r="77">
          <cell r="E77">
            <v>229.5</v>
          </cell>
          <cell r="K77" t="str">
            <v>3-15</v>
          </cell>
        </row>
        <row r="78">
          <cell r="E78">
            <v>233.98</v>
          </cell>
          <cell r="K78" t="str">
            <v>3-16</v>
          </cell>
        </row>
        <row r="79">
          <cell r="E79">
            <v>233.98</v>
          </cell>
          <cell r="K79" t="str">
            <v>3-17</v>
          </cell>
        </row>
        <row r="80">
          <cell r="E80">
            <v>233.98</v>
          </cell>
          <cell r="K80" t="str">
            <v>3-18</v>
          </cell>
        </row>
        <row r="81">
          <cell r="E81">
            <v>233.98</v>
          </cell>
          <cell r="K81" t="str">
            <v>3-19</v>
          </cell>
        </row>
        <row r="82">
          <cell r="E82">
            <v>229.5</v>
          </cell>
          <cell r="K82" t="str">
            <v>3-20</v>
          </cell>
        </row>
        <row r="83">
          <cell r="E83">
            <v>298.69</v>
          </cell>
          <cell r="K83" t="str">
            <v>3-21</v>
          </cell>
        </row>
        <row r="84">
          <cell r="E84">
            <v>298.69</v>
          </cell>
          <cell r="K84" t="str">
            <v>3-22</v>
          </cell>
        </row>
        <row r="85">
          <cell r="E85">
            <v>298.69</v>
          </cell>
          <cell r="K85" t="str">
            <v>3-23</v>
          </cell>
        </row>
        <row r="86">
          <cell r="E86">
            <v>298.69</v>
          </cell>
          <cell r="K86" t="str">
            <v>3-24</v>
          </cell>
        </row>
        <row r="87">
          <cell r="E87">
            <v>298.69</v>
          </cell>
          <cell r="K87" t="str">
            <v>3-25</v>
          </cell>
        </row>
        <row r="88">
          <cell r="E88">
            <v>298.69</v>
          </cell>
          <cell r="K88" t="str">
            <v>3-26</v>
          </cell>
        </row>
        <row r="89">
          <cell r="E89">
            <v>298.69</v>
          </cell>
          <cell r="K89" t="str">
            <v>3-27</v>
          </cell>
        </row>
        <row r="90">
          <cell r="E90">
            <v>298.69</v>
          </cell>
          <cell r="K90" t="str">
            <v>3-28</v>
          </cell>
        </row>
        <row r="91">
          <cell r="E91">
            <v>230.52</v>
          </cell>
          <cell r="K91" t="str">
            <v>31-1</v>
          </cell>
        </row>
        <row r="92">
          <cell r="E92">
            <v>233.98</v>
          </cell>
          <cell r="K92" t="str">
            <v>31-2</v>
          </cell>
        </row>
        <row r="93">
          <cell r="E93">
            <v>233.98</v>
          </cell>
          <cell r="K93" t="str">
            <v>31-3</v>
          </cell>
        </row>
        <row r="94">
          <cell r="E94">
            <v>233.98</v>
          </cell>
          <cell r="K94" t="str">
            <v>31-4</v>
          </cell>
        </row>
        <row r="95">
          <cell r="E95">
            <v>233.98</v>
          </cell>
          <cell r="K95" t="str">
            <v>31-5</v>
          </cell>
        </row>
        <row r="96">
          <cell r="E96">
            <v>233.98</v>
          </cell>
          <cell r="K96" t="str">
            <v>31-6</v>
          </cell>
        </row>
        <row r="97">
          <cell r="E97">
            <v>229.5</v>
          </cell>
          <cell r="K97" t="str">
            <v>31-7</v>
          </cell>
        </row>
        <row r="98">
          <cell r="E98">
            <v>398.26</v>
          </cell>
          <cell r="K98" t="str">
            <v>31-8</v>
          </cell>
        </row>
        <row r="99">
          <cell r="E99">
            <v>398.26</v>
          </cell>
          <cell r="K99" t="str">
            <v>31-9</v>
          </cell>
        </row>
        <row r="100">
          <cell r="E100">
            <v>398.26</v>
          </cell>
          <cell r="K100" t="str">
            <v>31-10</v>
          </cell>
        </row>
        <row r="101">
          <cell r="E101">
            <v>398.26</v>
          </cell>
          <cell r="K101" t="str">
            <v>31-11</v>
          </cell>
        </row>
        <row r="102">
          <cell r="E102">
            <v>398.26</v>
          </cell>
          <cell r="K102" t="str">
            <v>31-12</v>
          </cell>
        </row>
        <row r="103">
          <cell r="E103">
            <v>398.26</v>
          </cell>
          <cell r="K103" t="str">
            <v>31-13</v>
          </cell>
        </row>
        <row r="104">
          <cell r="E104">
            <v>398.26</v>
          </cell>
          <cell r="K104" t="str">
            <v>31-14</v>
          </cell>
        </row>
        <row r="105">
          <cell r="E105">
            <v>398.26</v>
          </cell>
          <cell r="K105" t="str">
            <v>31-15</v>
          </cell>
        </row>
        <row r="106">
          <cell r="E106">
            <v>229.5</v>
          </cell>
          <cell r="K106" t="str">
            <v>31-16</v>
          </cell>
        </row>
        <row r="107">
          <cell r="E107">
            <v>233.98</v>
          </cell>
          <cell r="K107" t="str">
            <v>31-17</v>
          </cell>
        </row>
        <row r="108">
          <cell r="E108">
            <v>233.98</v>
          </cell>
          <cell r="K108" t="str">
            <v>31-18</v>
          </cell>
        </row>
        <row r="109">
          <cell r="E109">
            <v>233.98</v>
          </cell>
          <cell r="K109" t="str">
            <v>31-19</v>
          </cell>
        </row>
        <row r="110">
          <cell r="E110">
            <v>233.98</v>
          </cell>
          <cell r="K110" t="str">
            <v>31-20</v>
          </cell>
        </row>
        <row r="111">
          <cell r="E111">
            <v>233.98</v>
          </cell>
          <cell r="K111" t="str">
            <v>31-21</v>
          </cell>
        </row>
        <row r="112">
          <cell r="E112">
            <v>212.94</v>
          </cell>
          <cell r="K112" t="str">
            <v>31-22</v>
          </cell>
        </row>
        <row r="113">
          <cell r="E113">
            <v>235</v>
          </cell>
          <cell r="K113" t="str">
            <v>31-23</v>
          </cell>
        </row>
        <row r="114">
          <cell r="E114">
            <v>399.15</v>
          </cell>
          <cell r="K114" t="str">
            <v>31-24</v>
          </cell>
        </row>
        <row r="115">
          <cell r="E115">
            <v>399.15</v>
          </cell>
          <cell r="K115" t="str">
            <v>31-25</v>
          </cell>
        </row>
        <row r="116">
          <cell r="E116">
            <v>399.15</v>
          </cell>
          <cell r="K116" t="str">
            <v>31-26</v>
          </cell>
        </row>
        <row r="117">
          <cell r="E117">
            <v>399.15</v>
          </cell>
          <cell r="K117" t="str">
            <v>31-27</v>
          </cell>
        </row>
        <row r="118">
          <cell r="E118">
            <v>399.15</v>
          </cell>
          <cell r="K118" t="str">
            <v>31-28</v>
          </cell>
        </row>
        <row r="119">
          <cell r="E119">
            <v>399.15</v>
          </cell>
          <cell r="K119" t="str">
            <v>31-29</v>
          </cell>
        </row>
        <row r="120">
          <cell r="E120">
            <v>399.15</v>
          </cell>
          <cell r="K120" t="str">
            <v>31-30</v>
          </cell>
        </row>
        <row r="121">
          <cell r="E121">
            <v>399.15</v>
          </cell>
          <cell r="K121" t="str">
            <v>31-31</v>
          </cell>
        </row>
        <row r="122">
          <cell r="E122">
            <v>235</v>
          </cell>
          <cell r="K122" t="str">
            <v>31-32</v>
          </cell>
        </row>
        <row r="123">
          <cell r="E123">
            <v>229.5</v>
          </cell>
          <cell r="K123" t="str">
            <v>32-1</v>
          </cell>
        </row>
        <row r="124">
          <cell r="E124">
            <v>233.98</v>
          </cell>
          <cell r="K124" t="str">
            <v>32-2</v>
          </cell>
        </row>
        <row r="125">
          <cell r="E125">
            <v>233.98</v>
          </cell>
          <cell r="K125" t="str">
            <v>32-3</v>
          </cell>
        </row>
        <row r="126">
          <cell r="E126">
            <v>233.98</v>
          </cell>
          <cell r="K126" t="str">
            <v>32-4</v>
          </cell>
        </row>
        <row r="127">
          <cell r="E127">
            <v>233.98</v>
          </cell>
          <cell r="K127" t="str">
            <v>32-5</v>
          </cell>
        </row>
        <row r="128">
          <cell r="E128">
            <v>229.5</v>
          </cell>
          <cell r="K128" t="str">
            <v>32-6</v>
          </cell>
        </row>
        <row r="129">
          <cell r="E129">
            <v>298.69</v>
          </cell>
          <cell r="K129" t="str">
            <v>32-7</v>
          </cell>
        </row>
        <row r="130">
          <cell r="E130">
            <v>298.69</v>
          </cell>
          <cell r="K130" t="str">
            <v>32-8</v>
          </cell>
        </row>
        <row r="131">
          <cell r="E131">
            <v>298.69</v>
          </cell>
          <cell r="K131" t="str">
            <v>32-9</v>
          </cell>
        </row>
        <row r="132">
          <cell r="E132">
            <v>298.69</v>
          </cell>
          <cell r="K132" t="str">
            <v>32-10</v>
          </cell>
        </row>
        <row r="133">
          <cell r="E133">
            <v>298.69</v>
          </cell>
          <cell r="K133" t="str">
            <v>32-11</v>
          </cell>
        </row>
        <row r="134">
          <cell r="E134">
            <v>298.69</v>
          </cell>
          <cell r="K134" t="str">
            <v>32-12</v>
          </cell>
        </row>
        <row r="135">
          <cell r="E135">
            <v>298.69</v>
          </cell>
          <cell r="K135" t="str">
            <v>32-13</v>
          </cell>
        </row>
        <row r="136">
          <cell r="E136">
            <v>298.69</v>
          </cell>
          <cell r="K136" t="str">
            <v>32-14</v>
          </cell>
        </row>
        <row r="137">
          <cell r="E137">
            <v>229.5</v>
          </cell>
          <cell r="K137" t="str">
            <v>32-15</v>
          </cell>
        </row>
        <row r="138">
          <cell r="E138">
            <v>233.98</v>
          </cell>
          <cell r="K138" t="str">
            <v>32-16</v>
          </cell>
        </row>
        <row r="139">
          <cell r="E139">
            <v>233.98</v>
          </cell>
          <cell r="K139" t="str">
            <v>32-17</v>
          </cell>
        </row>
        <row r="140">
          <cell r="E140">
            <v>233.98</v>
          </cell>
          <cell r="K140" t="str">
            <v>32-18</v>
          </cell>
        </row>
        <row r="141">
          <cell r="E141">
            <v>233.98</v>
          </cell>
          <cell r="K141" t="str">
            <v>32-19</v>
          </cell>
        </row>
        <row r="142">
          <cell r="E142">
            <v>229.5</v>
          </cell>
          <cell r="K142" t="str">
            <v>32-20</v>
          </cell>
        </row>
        <row r="143">
          <cell r="E143">
            <v>298.69</v>
          </cell>
          <cell r="K143" t="str">
            <v>32-21</v>
          </cell>
        </row>
        <row r="144">
          <cell r="E144">
            <v>298.69</v>
          </cell>
          <cell r="K144" t="str">
            <v>32-22</v>
          </cell>
        </row>
        <row r="145">
          <cell r="E145">
            <v>298.69</v>
          </cell>
          <cell r="K145" t="str">
            <v>32-23</v>
          </cell>
        </row>
        <row r="146">
          <cell r="E146">
            <v>298.69</v>
          </cell>
          <cell r="K146" t="str">
            <v>32-24</v>
          </cell>
        </row>
        <row r="147">
          <cell r="E147">
            <v>298.69</v>
          </cell>
          <cell r="K147" t="str">
            <v>32-25</v>
          </cell>
        </row>
        <row r="148">
          <cell r="E148">
            <v>298.69</v>
          </cell>
          <cell r="K148" t="str">
            <v>32-26</v>
          </cell>
        </row>
        <row r="149">
          <cell r="E149">
            <v>298.69</v>
          </cell>
          <cell r="K149" t="str">
            <v>32-27</v>
          </cell>
        </row>
        <row r="150">
          <cell r="E150">
            <v>298.69</v>
          </cell>
          <cell r="K150" t="str">
            <v>32-28</v>
          </cell>
        </row>
        <row r="151">
          <cell r="E151">
            <v>229.5</v>
          </cell>
          <cell r="K151" t="str">
            <v>33-1</v>
          </cell>
        </row>
        <row r="152">
          <cell r="E152">
            <v>233.98</v>
          </cell>
          <cell r="K152" t="str">
            <v>33-2</v>
          </cell>
        </row>
        <row r="153">
          <cell r="E153">
            <v>233.98</v>
          </cell>
          <cell r="K153" t="str">
            <v>33-3</v>
          </cell>
        </row>
        <row r="154">
          <cell r="E154">
            <v>233.98</v>
          </cell>
          <cell r="K154" t="str">
            <v>33-4</v>
          </cell>
        </row>
        <row r="155">
          <cell r="E155">
            <v>233.98</v>
          </cell>
          <cell r="K155" t="str">
            <v>33-5</v>
          </cell>
        </row>
        <row r="156">
          <cell r="E156">
            <v>229.5</v>
          </cell>
          <cell r="K156" t="str">
            <v>33-6</v>
          </cell>
        </row>
        <row r="157">
          <cell r="E157">
            <v>298.69</v>
          </cell>
          <cell r="K157" t="str">
            <v>33-7</v>
          </cell>
        </row>
        <row r="158">
          <cell r="E158">
            <v>298.69</v>
          </cell>
          <cell r="K158" t="str">
            <v>33-8</v>
          </cell>
        </row>
        <row r="159">
          <cell r="E159">
            <v>298.69</v>
          </cell>
          <cell r="K159" t="str">
            <v>33-9</v>
          </cell>
        </row>
        <row r="160">
          <cell r="E160">
            <v>298.69</v>
          </cell>
          <cell r="K160" t="str">
            <v>33-10</v>
          </cell>
        </row>
        <row r="161">
          <cell r="E161">
            <v>298.69</v>
          </cell>
          <cell r="K161" t="str">
            <v>33-11</v>
          </cell>
        </row>
        <row r="162">
          <cell r="E162">
            <v>298.69</v>
          </cell>
          <cell r="K162" t="str">
            <v>33-12</v>
          </cell>
        </row>
        <row r="163">
          <cell r="E163">
            <v>298.69</v>
          </cell>
          <cell r="K163" t="str">
            <v>33-13</v>
          </cell>
        </row>
        <row r="164">
          <cell r="E164">
            <v>298.69</v>
          </cell>
          <cell r="K164" t="str">
            <v>33-14</v>
          </cell>
        </row>
        <row r="165">
          <cell r="E165">
            <v>213.22</v>
          </cell>
          <cell r="K165" t="str">
            <v>33-15</v>
          </cell>
        </row>
        <row r="166">
          <cell r="E166">
            <v>233.98</v>
          </cell>
          <cell r="K166" t="str">
            <v>33-16</v>
          </cell>
        </row>
        <row r="167">
          <cell r="E167">
            <v>233.98</v>
          </cell>
          <cell r="K167" t="str">
            <v>33-17</v>
          </cell>
        </row>
        <row r="168">
          <cell r="E168">
            <v>233.98</v>
          </cell>
          <cell r="K168" t="str">
            <v>33-18</v>
          </cell>
        </row>
        <row r="169">
          <cell r="E169">
            <v>233.98</v>
          </cell>
          <cell r="K169" t="str">
            <v>33-19</v>
          </cell>
        </row>
        <row r="170">
          <cell r="E170">
            <v>229.5</v>
          </cell>
          <cell r="K170" t="str">
            <v>33-20</v>
          </cell>
        </row>
        <row r="171">
          <cell r="E171">
            <v>298.69</v>
          </cell>
          <cell r="K171" t="str">
            <v>33-21</v>
          </cell>
        </row>
        <row r="172">
          <cell r="E172">
            <v>298.69</v>
          </cell>
          <cell r="K172" t="str">
            <v>33-22</v>
          </cell>
        </row>
        <row r="173">
          <cell r="E173">
            <v>298.69</v>
          </cell>
          <cell r="K173" t="str">
            <v>33-23</v>
          </cell>
        </row>
        <row r="174">
          <cell r="E174">
            <v>298.69</v>
          </cell>
          <cell r="K174" t="str">
            <v>33-24</v>
          </cell>
        </row>
        <row r="175">
          <cell r="E175">
            <v>298.69</v>
          </cell>
          <cell r="K175" t="str">
            <v>33-25</v>
          </cell>
        </row>
        <row r="176">
          <cell r="E176">
            <v>298.69</v>
          </cell>
          <cell r="K176" t="str">
            <v>33-26</v>
          </cell>
        </row>
        <row r="177">
          <cell r="E177">
            <v>298.69</v>
          </cell>
          <cell r="K177" t="str">
            <v>33-27</v>
          </cell>
        </row>
        <row r="178">
          <cell r="E178">
            <v>298.69</v>
          </cell>
          <cell r="K178" t="str">
            <v>33-28</v>
          </cell>
        </row>
        <row r="179">
          <cell r="E179">
            <v>214.24</v>
          </cell>
          <cell r="K179" t="str">
            <v>94-1</v>
          </cell>
        </row>
        <row r="180">
          <cell r="E180">
            <v>233.98</v>
          </cell>
          <cell r="K180" t="str">
            <v>94-2</v>
          </cell>
        </row>
        <row r="181">
          <cell r="E181">
            <v>233.98</v>
          </cell>
          <cell r="K181" t="str">
            <v>94-3</v>
          </cell>
        </row>
        <row r="182">
          <cell r="E182">
            <v>233.98</v>
          </cell>
          <cell r="K182" t="str">
            <v>94-4</v>
          </cell>
        </row>
        <row r="183">
          <cell r="E183">
            <v>233.98</v>
          </cell>
          <cell r="K183" t="str">
            <v>94-5</v>
          </cell>
        </row>
        <row r="184">
          <cell r="E184">
            <v>233.98</v>
          </cell>
          <cell r="K184" t="str">
            <v>94-6</v>
          </cell>
        </row>
        <row r="185">
          <cell r="E185">
            <v>229.5</v>
          </cell>
          <cell r="K185" t="str">
            <v>94-7</v>
          </cell>
        </row>
        <row r="186">
          <cell r="E186">
            <v>398.26</v>
          </cell>
          <cell r="K186" t="str">
            <v>94-8</v>
          </cell>
        </row>
        <row r="187">
          <cell r="E187">
            <v>398.26</v>
          </cell>
          <cell r="K187" t="str">
            <v>94-9</v>
          </cell>
        </row>
        <row r="188">
          <cell r="E188">
            <v>398.26</v>
          </cell>
          <cell r="K188" t="str">
            <v>94-10</v>
          </cell>
        </row>
        <row r="189">
          <cell r="E189">
            <v>398.26</v>
          </cell>
          <cell r="K189" t="str">
            <v>94-11</v>
          </cell>
        </row>
        <row r="190">
          <cell r="E190">
            <v>398.26</v>
          </cell>
          <cell r="K190" t="str">
            <v>94-12</v>
          </cell>
        </row>
        <row r="191">
          <cell r="E191">
            <v>398.26</v>
          </cell>
          <cell r="K191" t="str">
            <v>94-13</v>
          </cell>
        </row>
        <row r="192">
          <cell r="E192">
            <v>398.26</v>
          </cell>
          <cell r="K192" t="str">
            <v>94-14</v>
          </cell>
        </row>
        <row r="193">
          <cell r="E193">
            <v>398.26</v>
          </cell>
          <cell r="K193" t="str">
            <v>94-15</v>
          </cell>
        </row>
        <row r="194">
          <cell r="E194">
            <v>229.5</v>
          </cell>
          <cell r="K194" t="str">
            <v>94-16</v>
          </cell>
        </row>
        <row r="195">
          <cell r="E195">
            <v>233.98</v>
          </cell>
          <cell r="K195" t="str">
            <v>94-17</v>
          </cell>
        </row>
        <row r="196">
          <cell r="E196">
            <v>233.98</v>
          </cell>
          <cell r="K196" t="str">
            <v>94-18</v>
          </cell>
        </row>
        <row r="197">
          <cell r="E197">
            <v>233.98</v>
          </cell>
          <cell r="K197" t="str">
            <v>94-19</v>
          </cell>
        </row>
        <row r="198">
          <cell r="E198">
            <v>233.98</v>
          </cell>
          <cell r="K198" t="str">
            <v>94-20</v>
          </cell>
        </row>
        <row r="199">
          <cell r="E199">
            <v>233.98</v>
          </cell>
          <cell r="K199" t="str">
            <v>94-21</v>
          </cell>
        </row>
        <row r="200">
          <cell r="E200">
            <v>230.52</v>
          </cell>
          <cell r="K200" t="str">
            <v>94-22</v>
          </cell>
        </row>
        <row r="201">
          <cell r="E201">
            <v>235</v>
          </cell>
          <cell r="K201" t="str">
            <v>94-23</v>
          </cell>
        </row>
        <row r="202">
          <cell r="E202">
            <v>399.15</v>
          </cell>
          <cell r="K202" t="str">
            <v>94-24</v>
          </cell>
        </row>
        <row r="203">
          <cell r="E203">
            <v>399.15</v>
          </cell>
          <cell r="K203" t="str">
            <v>94-25</v>
          </cell>
        </row>
        <row r="204">
          <cell r="E204">
            <v>399.15</v>
          </cell>
          <cell r="K204" t="str">
            <v>94-26</v>
          </cell>
        </row>
        <row r="205">
          <cell r="E205">
            <v>399.15</v>
          </cell>
          <cell r="K205" t="str">
            <v>94-27</v>
          </cell>
        </row>
        <row r="206">
          <cell r="E206">
            <v>399.15</v>
          </cell>
          <cell r="K206" t="str">
            <v>94-28</v>
          </cell>
        </row>
        <row r="207">
          <cell r="E207">
            <v>399.15</v>
          </cell>
          <cell r="K207" t="str">
            <v>94-29</v>
          </cell>
        </row>
        <row r="208">
          <cell r="E208">
            <v>399.15</v>
          </cell>
          <cell r="K208" t="str">
            <v>94-30</v>
          </cell>
        </row>
        <row r="209">
          <cell r="E209">
            <v>399.15</v>
          </cell>
          <cell r="K209" t="str">
            <v>94-31</v>
          </cell>
        </row>
        <row r="210">
          <cell r="E210">
            <v>235</v>
          </cell>
          <cell r="K210" t="str">
            <v>94-32</v>
          </cell>
        </row>
        <row r="211">
          <cell r="E211">
            <v>229.5</v>
          </cell>
          <cell r="K211" t="str">
            <v>95-1</v>
          </cell>
        </row>
        <row r="212">
          <cell r="E212">
            <v>233.98</v>
          </cell>
          <cell r="K212" t="str">
            <v>95-2</v>
          </cell>
        </row>
        <row r="213">
          <cell r="E213">
            <v>233.98</v>
          </cell>
          <cell r="K213" t="str">
            <v>95-3</v>
          </cell>
        </row>
        <row r="214">
          <cell r="E214">
            <v>233.98</v>
          </cell>
          <cell r="K214" t="str">
            <v>95-4</v>
          </cell>
        </row>
        <row r="215">
          <cell r="E215">
            <v>233.98</v>
          </cell>
          <cell r="K215" t="str">
            <v>95-5</v>
          </cell>
        </row>
        <row r="216">
          <cell r="E216">
            <v>229.5</v>
          </cell>
          <cell r="K216" t="str">
            <v>95-6</v>
          </cell>
        </row>
        <row r="217">
          <cell r="E217">
            <v>298.69</v>
          </cell>
          <cell r="K217" t="str">
            <v>95-7</v>
          </cell>
        </row>
        <row r="218">
          <cell r="E218">
            <v>298.69</v>
          </cell>
          <cell r="K218" t="str">
            <v>95-8</v>
          </cell>
        </row>
        <row r="219">
          <cell r="E219">
            <v>298.69</v>
          </cell>
          <cell r="K219" t="str">
            <v>95-9</v>
          </cell>
        </row>
        <row r="220">
          <cell r="E220">
            <v>298.69</v>
          </cell>
          <cell r="K220" t="str">
            <v>95-10</v>
          </cell>
        </row>
        <row r="221">
          <cell r="E221">
            <v>298.69</v>
          </cell>
          <cell r="K221" t="str">
            <v>95-11</v>
          </cell>
        </row>
        <row r="222">
          <cell r="E222">
            <v>298.69</v>
          </cell>
          <cell r="K222" t="str">
            <v>95-12</v>
          </cell>
        </row>
        <row r="223">
          <cell r="E223">
            <v>298.69</v>
          </cell>
          <cell r="K223" t="str">
            <v>95-13</v>
          </cell>
        </row>
        <row r="224">
          <cell r="E224">
            <v>298.69</v>
          </cell>
          <cell r="K224" t="str">
            <v>95-14</v>
          </cell>
        </row>
        <row r="225">
          <cell r="E225">
            <v>229.5</v>
          </cell>
          <cell r="K225" t="str">
            <v>95-15</v>
          </cell>
        </row>
        <row r="226">
          <cell r="E226">
            <v>233.98</v>
          </cell>
          <cell r="K226" t="str">
            <v>95-16</v>
          </cell>
        </row>
        <row r="227">
          <cell r="E227">
            <v>233.98</v>
          </cell>
          <cell r="K227" t="str">
            <v>95-17</v>
          </cell>
        </row>
        <row r="228">
          <cell r="E228">
            <v>233.98</v>
          </cell>
          <cell r="K228" t="str">
            <v>95-18</v>
          </cell>
        </row>
        <row r="229">
          <cell r="E229">
            <v>233.98</v>
          </cell>
          <cell r="K229" t="str">
            <v>95-19</v>
          </cell>
        </row>
        <row r="230">
          <cell r="E230">
            <v>229.5</v>
          </cell>
          <cell r="K230" t="str">
            <v>95-20</v>
          </cell>
        </row>
        <row r="231">
          <cell r="E231">
            <v>298.69</v>
          </cell>
          <cell r="K231" t="str">
            <v>95-21</v>
          </cell>
        </row>
        <row r="232">
          <cell r="E232">
            <v>298.69</v>
          </cell>
          <cell r="K232" t="str">
            <v>95-22</v>
          </cell>
        </row>
        <row r="233">
          <cell r="E233">
            <v>298.69</v>
          </cell>
          <cell r="K233" t="str">
            <v>95-23</v>
          </cell>
        </row>
        <row r="234">
          <cell r="E234">
            <v>298.69</v>
          </cell>
          <cell r="K234" t="str">
            <v>95-24</v>
          </cell>
        </row>
        <row r="235">
          <cell r="E235">
            <v>298.69</v>
          </cell>
          <cell r="K235" t="str">
            <v>95-25</v>
          </cell>
        </row>
        <row r="236">
          <cell r="E236">
            <v>298.69</v>
          </cell>
          <cell r="K236" t="str">
            <v>95-26</v>
          </cell>
        </row>
        <row r="237">
          <cell r="E237">
            <v>298.69</v>
          </cell>
          <cell r="K237" t="str">
            <v>95-27</v>
          </cell>
        </row>
        <row r="238">
          <cell r="E238">
            <v>298.69</v>
          </cell>
          <cell r="K238" t="str">
            <v>95-28</v>
          </cell>
        </row>
        <row r="239">
          <cell r="E239">
            <v>229.5</v>
          </cell>
          <cell r="K239" t="str">
            <v>96-1</v>
          </cell>
        </row>
        <row r="240">
          <cell r="E240">
            <v>233.98</v>
          </cell>
          <cell r="K240" t="str">
            <v>96-2</v>
          </cell>
        </row>
        <row r="241">
          <cell r="E241">
            <v>233.98</v>
          </cell>
          <cell r="K241" t="str">
            <v>96-3</v>
          </cell>
        </row>
        <row r="242">
          <cell r="E242">
            <v>0</v>
          </cell>
          <cell r="K242" t="str">
            <v>96-</v>
          </cell>
        </row>
        <row r="243">
          <cell r="E243">
            <v>0</v>
          </cell>
          <cell r="K243" t="str">
            <v>96-</v>
          </cell>
        </row>
        <row r="244">
          <cell r="E244">
            <v>0</v>
          </cell>
          <cell r="K244" t="str">
            <v>96-</v>
          </cell>
        </row>
        <row r="245">
          <cell r="E245">
            <v>0</v>
          </cell>
          <cell r="K245" t="str">
            <v>96-</v>
          </cell>
        </row>
        <row r="246">
          <cell r="E246">
            <v>0</v>
          </cell>
          <cell r="K246" t="str">
            <v>96-</v>
          </cell>
        </row>
        <row r="247">
          <cell r="E247">
            <v>0</v>
          </cell>
          <cell r="K247" t="str">
            <v>96-</v>
          </cell>
        </row>
        <row r="248">
          <cell r="E248">
            <v>0</v>
          </cell>
          <cell r="K248" t="str">
            <v>96-</v>
          </cell>
        </row>
        <row r="249">
          <cell r="E249">
            <v>0</v>
          </cell>
          <cell r="K249" t="str">
            <v>96-</v>
          </cell>
        </row>
        <row r="250">
          <cell r="E250">
            <v>298.69</v>
          </cell>
          <cell r="K250" t="str">
            <v>96-12</v>
          </cell>
        </row>
        <row r="251">
          <cell r="E251">
            <v>298.69</v>
          </cell>
          <cell r="K251" t="str">
            <v>96-13</v>
          </cell>
        </row>
        <row r="252">
          <cell r="E252">
            <v>298.69</v>
          </cell>
          <cell r="K252" t="str">
            <v>96-14</v>
          </cell>
        </row>
        <row r="253">
          <cell r="E253">
            <v>229.5</v>
          </cell>
          <cell r="K253" t="str">
            <v>96-15</v>
          </cell>
        </row>
        <row r="254">
          <cell r="E254">
            <v>233.98</v>
          </cell>
          <cell r="K254" t="str">
            <v>96-16</v>
          </cell>
        </row>
        <row r="255">
          <cell r="E255">
            <v>233.98</v>
          </cell>
          <cell r="K255" t="str">
            <v>96-17</v>
          </cell>
        </row>
        <row r="256">
          <cell r="K256" t="str">
            <v>96-</v>
          </cell>
        </row>
        <row r="257">
          <cell r="E257">
            <v>233.98</v>
          </cell>
          <cell r="K257" t="str">
            <v>96-19</v>
          </cell>
        </row>
        <row r="258">
          <cell r="E258">
            <v>229.5</v>
          </cell>
          <cell r="K258" t="str">
            <v>96-20</v>
          </cell>
        </row>
        <row r="259">
          <cell r="K259" t="str">
            <v>96-</v>
          </cell>
        </row>
        <row r="260">
          <cell r="E260">
            <v>298.69</v>
          </cell>
          <cell r="K260" t="str">
            <v>96-22</v>
          </cell>
        </row>
        <row r="261">
          <cell r="E261">
            <v>298.69</v>
          </cell>
          <cell r="K261" t="str">
            <v>96-23</v>
          </cell>
        </row>
        <row r="262">
          <cell r="E262">
            <v>298.69</v>
          </cell>
          <cell r="K262" t="str">
            <v>96-24</v>
          </cell>
        </row>
        <row r="263">
          <cell r="E263">
            <v>298.69</v>
          </cell>
          <cell r="K263" t="str">
            <v>96-25</v>
          </cell>
        </row>
        <row r="264">
          <cell r="E264">
            <v>298.69</v>
          </cell>
          <cell r="K264" t="str">
            <v>96-26</v>
          </cell>
        </row>
        <row r="265">
          <cell r="E265">
            <v>298.69</v>
          </cell>
          <cell r="K265" t="str">
            <v>96-27</v>
          </cell>
        </row>
        <row r="266">
          <cell r="E266">
            <v>298.69</v>
          </cell>
          <cell r="K266" t="str">
            <v>96-28</v>
          </cell>
        </row>
        <row r="267">
          <cell r="K267" t="str">
            <v>124-</v>
          </cell>
        </row>
        <row r="268">
          <cell r="K268" t="str">
            <v>124-</v>
          </cell>
        </row>
        <row r="269">
          <cell r="K269" t="str">
            <v>124-</v>
          </cell>
        </row>
        <row r="270">
          <cell r="K270" t="str">
            <v>124-</v>
          </cell>
        </row>
        <row r="271">
          <cell r="K271" t="str">
            <v>124-</v>
          </cell>
        </row>
        <row r="272">
          <cell r="E272">
            <v>233.98</v>
          </cell>
          <cell r="K272" t="str">
            <v>124-6</v>
          </cell>
        </row>
        <row r="273">
          <cell r="E273">
            <v>229.5</v>
          </cell>
          <cell r="K273" t="str">
            <v>124-7</v>
          </cell>
        </row>
        <row r="274">
          <cell r="E274">
            <v>398.26</v>
          </cell>
          <cell r="K274" t="str">
            <v>124-8</v>
          </cell>
        </row>
        <row r="275">
          <cell r="E275">
            <v>398.26</v>
          </cell>
          <cell r="K275" t="str">
            <v>124-9</v>
          </cell>
        </row>
        <row r="276">
          <cell r="E276">
            <v>398.26</v>
          </cell>
          <cell r="K276" t="str">
            <v>124-10</v>
          </cell>
        </row>
        <row r="277">
          <cell r="E277">
            <v>398.26</v>
          </cell>
          <cell r="K277" t="str">
            <v>124-11</v>
          </cell>
        </row>
        <row r="278">
          <cell r="E278">
            <v>398.26</v>
          </cell>
          <cell r="K278" t="str">
            <v>124-12</v>
          </cell>
        </row>
        <row r="279">
          <cell r="E279">
            <v>398.26</v>
          </cell>
          <cell r="K279" t="str">
            <v>124-13</v>
          </cell>
        </row>
        <row r="280">
          <cell r="E280">
            <v>398.26</v>
          </cell>
          <cell r="K280" t="str">
            <v>124-14</v>
          </cell>
        </row>
        <row r="281">
          <cell r="E281">
            <v>398.26</v>
          </cell>
          <cell r="K281" t="str">
            <v>124-15</v>
          </cell>
        </row>
        <row r="282">
          <cell r="E282">
            <v>229.5</v>
          </cell>
          <cell r="K282" t="str">
            <v>124-16</v>
          </cell>
        </row>
        <row r="283">
          <cell r="E283">
            <v>233.98</v>
          </cell>
          <cell r="K283" t="str">
            <v>124-17</v>
          </cell>
        </row>
        <row r="284">
          <cell r="E284">
            <v>233.98</v>
          </cell>
          <cell r="K284" t="str">
            <v>124-18</v>
          </cell>
        </row>
        <row r="285">
          <cell r="E285">
            <v>233.98</v>
          </cell>
          <cell r="K285" t="str">
            <v>124-19</v>
          </cell>
        </row>
        <row r="286">
          <cell r="E286">
            <v>233.98</v>
          </cell>
          <cell r="K286" t="str">
            <v>124-20</v>
          </cell>
        </row>
        <row r="287">
          <cell r="E287">
            <v>233.98</v>
          </cell>
          <cell r="K287" t="str">
            <v>124-21</v>
          </cell>
        </row>
        <row r="288">
          <cell r="E288">
            <v>230.52</v>
          </cell>
          <cell r="K288" t="str">
            <v>124-22</v>
          </cell>
        </row>
        <row r="289">
          <cell r="E289">
            <v>235</v>
          </cell>
          <cell r="K289" t="str">
            <v>124-23</v>
          </cell>
        </row>
        <row r="290">
          <cell r="E290">
            <v>399.15</v>
          </cell>
          <cell r="K290" t="str">
            <v>124-24</v>
          </cell>
        </row>
        <row r="291">
          <cell r="E291">
            <v>399.15</v>
          </cell>
          <cell r="K291" t="str">
            <v>124-25</v>
          </cell>
        </row>
        <row r="292">
          <cell r="E292">
            <v>399.15</v>
          </cell>
          <cell r="K292" t="str">
            <v>124-26</v>
          </cell>
        </row>
        <row r="293">
          <cell r="E293">
            <v>399.15</v>
          </cell>
          <cell r="K293" t="str">
            <v>124-27</v>
          </cell>
        </row>
        <row r="294">
          <cell r="E294">
            <v>399.15</v>
          </cell>
          <cell r="K294" t="str">
            <v>124-28</v>
          </cell>
        </row>
        <row r="295">
          <cell r="E295">
            <v>399.15</v>
          </cell>
          <cell r="K295" t="str">
            <v>124-29</v>
          </cell>
        </row>
        <row r="296">
          <cell r="E296">
            <v>399.15</v>
          </cell>
          <cell r="K296" t="str">
            <v>124-30</v>
          </cell>
        </row>
        <row r="297">
          <cell r="E297">
            <v>399.15</v>
          </cell>
          <cell r="K297" t="str">
            <v>124-31</v>
          </cell>
        </row>
        <row r="298">
          <cell r="K298" t="str">
            <v>124-</v>
          </cell>
        </row>
        <row r="299">
          <cell r="E299">
            <v>229.5</v>
          </cell>
          <cell r="K299" t="str">
            <v>125-1</v>
          </cell>
        </row>
        <row r="300">
          <cell r="E300">
            <v>233.98</v>
          </cell>
          <cell r="K300" t="str">
            <v>125-2</v>
          </cell>
        </row>
        <row r="301">
          <cell r="E301">
            <v>233.98</v>
          </cell>
          <cell r="K301" t="str">
            <v>125-3</v>
          </cell>
        </row>
        <row r="302">
          <cell r="E302">
            <v>233.98</v>
          </cell>
          <cell r="K302" t="str">
            <v>125-4</v>
          </cell>
        </row>
        <row r="303">
          <cell r="E303">
            <v>233.98</v>
          </cell>
          <cell r="K303" t="str">
            <v>125-5</v>
          </cell>
        </row>
        <row r="304">
          <cell r="E304">
            <v>229.5</v>
          </cell>
          <cell r="K304" t="str">
            <v>125-6</v>
          </cell>
        </row>
        <row r="305">
          <cell r="E305">
            <v>298.69</v>
          </cell>
          <cell r="K305" t="str">
            <v>125-7</v>
          </cell>
        </row>
        <row r="306">
          <cell r="E306">
            <v>298.69</v>
          </cell>
          <cell r="K306" t="str">
            <v>125-8</v>
          </cell>
        </row>
        <row r="307">
          <cell r="E307">
            <v>298.69</v>
          </cell>
          <cell r="K307" t="str">
            <v>125-9</v>
          </cell>
        </row>
        <row r="308">
          <cell r="E308">
            <v>298.69</v>
          </cell>
          <cell r="K308" t="str">
            <v>125-10</v>
          </cell>
        </row>
        <row r="309">
          <cell r="E309">
            <v>298.69</v>
          </cell>
          <cell r="K309" t="str">
            <v>125-11</v>
          </cell>
        </row>
        <row r="310">
          <cell r="E310">
            <v>298.69</v>
          </cell>
          <cell r="K310" t="str">
            <v>125-12</v>
          </cell>
        </row>
        <row r="311">
          <cell r="E311">
            <v>298.69</v>
          </cell>
          <cell r="K311" t="str">
            <v>125-13</v>
          </cell>
        </row>
        <row r="312">
          <cell r="E312">
            <v>298.69</v>
          </cell>
          <cell r="K312" t="str">
            <v>125-14</v>
          </cell>
        </row>
        <row r="313">
          <cell r="E313">
            <v>229.5</v>
          </cell>
          <cell r="K313" t="str">
            <v>125-15</v>
          </cell>
        </row>
        <row r="314">
          <cell r="E314">
            <v>233.98</v>
          </cell>
          <cell r="K314" t="str">
            <v>125-16</v>
          </cell>
        </row>
        <row r="315">
          <cell r="E315">
            <v>233.98</v>
          </cell>
          <cell r="K315" t="str">
            <v>125-17</v>
          </cell>
        </row>
        <row r="316">
          <cell r="E316">
            <v>233.98</v>
          </cell>
          <cell r="K316" t="str">
            <v>125-18</v>
          </cell>
        </row>
        <row r="317">
          <cell r="E317">
            <v>233.98</v>
          </cell>
          <cell r="K317" t="str">
            <v>125-19</v>
          </cell>
        </row>
        <row r="318">
          <cell r="E318">
            <v>229.5</v>
          </cell>
          <cell r="K318" t="str">
            <v>125-20</v>
          </cell>
        </row>
        <row r="319">
          <cell r="E319">
            <v>298.69</v>
          </cell>
          <cell r="K319" t="str">
            <v>125-21</v>
          </cell>
        </row>
        <row r="320">
          <cell r="E320">
            <v>298.69</v>
          </cell>
          <cell r="K320" t="str">
            <v>125-22</v>
          </cell>
        </row>
        <row r="321">
          <cell r="E321">
            <v>298.69</v>
          </cell>
          <cell r="K321" t="str">
            <v>125-23</v>
          </cell>
        </row>
        <row r="322">
          <cell r="E322">
            <v>298.69</v>
          </cell>
          <cell r="K322" t="str">
            <v>125-24</v>
          </cell>
        </row>
        <row r="323">
          <cell r="E323">
            <v>298.69</v>
          </cell>
          <cell r="K323" t="str">
            <v>125-25</v>
          </cell>
        </row>
        <row r="324">
          <cell r="E324">
            <v>298.69</v>
          </cell>
          <cell r="K324" t="str">
            <v>125-26</v>
          </cell>
        </row>
        <row r="325">
          <cell r="E325">
            <v>298.69</v>
          </cell>
          <cell r="K325" t="str">
            <v>125-27</v>
          </cell>
        </row>
        <row r="326">
          <cell r="E326">
            <v>298.69</v>
          </cell>
          <cell r="K326" t="str">
            <v>125-28</v>
          </cell>
        </row>
        <row r="327">
          <cell r="E327">
            <v>229.5</v>
          </cell>
          <cell r="K327" t="str">
            <v>126-1</v>
          </cell>
        </row>
        <row r="328">
          <cell r="E328">
            <v>233.98</v>
          </cell>
          <cell r="K328" t="str">
            <v>126-2</v>
          </cell>
        </row>
        <row r="329">
          <cell r="E329">
            <v>233.98</v>
          </cell>
          <cell r="K329" t="str">
            <v>126-3</v>
          </cell>
        </row>
        <row r="330">
          <cell r="E330">
            <v>233.98</v>
          </cell>
          <cell r="K330" t="str">
            <v>126-4</v>
          </cell>
        </row>
        <row r="331">
          <cell r="E331">
            <v>233.98</v>
          </cell>
          <cell r="K331" t="str">
            <v>126-5</v>
          </cell>
        </row>
        <row r="332">
          <cell r="E332">
            <v>229.5</v>
          </cell>
          <cell r="K332" t="str">
            <v>126-6</v>
          </cell>
        </row>
        <row r="333">
          <cell r="E333">
            <v>298.69</v>
          </cell>
          <cell r="K333" t="str">
            <v>126-7</v>
          </cell>
        </row>
        <row r="334">
          <cell r="E334">
            <v>298.69</v>
          </cell>
          <cell r="K334" t="str">
            <v>126-8</v>
          </cell>
        </row>
        <row r="335">
          <cell r="E335">
            <v>298.69</v>
          </cell>
          <cell r="K335" t="str">
            <v>126-9</v>
          </cell>
        </row>
        <row r="336">
          <cell r="E336">
            <v>298.69</v>
          </cell>
          <cell r="K336" t="str">
            <v>126-10</v>
          </cell>
        </row>
        <row r="337">
          <cell r="E337">
            <v>298.69</v>
          </cell>
          <cell r="K337" t="str">
            <v>126-11</v>
          </cell>
        </row>
        <row r="338">
          <cell r="E338">
            <v>298.69</v>
          </cell>
          <cell r="K338" t="str">
            <v>126-12</v>
          </cell>
        </row>
        <row r="339">
          <cell r="E339">
            <v>298.69</v>
          </cell>
          <cell r="K339" t="str">
            <v>126-13</v>
          </cell>
        </row>
        <row r="340">
          <cell r="E340">
            <v>298.69</v>
          </cell>
          <cell r="K340" t="str">
            <v>126-14</v>
          </cell>
        </row>
        <row r="341">
          <cell r="E341">
            <v>229.5</v>
          </cell>
          <cell r="K341" t="str">
            <v>126-15</v>
          </cell>
        </row>
        <row r="342">
          <cell r="E342">
            <v>233.98</v>
          </cell>
          <cell r="K342" t="str">
            <v>126-16</v>
          </cell>
        </row>
        <row r="343">
          <cell r="E343">
            <v>233.98</v>
          </cell>
          <cell r="K343" t="str">
            <v>126-17</v>
          </cell>
        </row>
        <row r="344">
          <cell r="E344">
            <v>233.98</v>
          </cell>
          <cell r="K344" t="str">
            <v>126-18</v>
          </cell>
        </row>
        <row r="345">
          <cell r="E345">
            <v>233.98</v>
          </cell>
          <cell r="K345" t="str">
            <v>126-19</v>
          </cell>
        </row>
        <row r="346">
          <cell r="E346">
            <v>229.5</v>
          </cell>
          <cell r="K346" t="str">
            <v>126-20</v>
          </cell>
        </row>
        <row r="347">
          <cell r="E347">
            <v>298.69</v>
          </cell>
          <cell r="K347" t="str">
            <v>126-21</v>
          </cell>
        </row>
        <row r="348">
          <cell r="E348">
            <v>298.69</v>
          </cell>
          <cell r="K348" t="str">
            <v>126-22</v>
          </cell>
        </row>
        <row r="349">
          <cell r="E349">
            <v>298.69</v>
          </cell>
          <cell r="K349" t="str">
            <v>126-23</v>
          </cell>
        </row>
        <row r="350">
          <cell r="E350">
            <v>298.69</v>
          </cell>
          <cell r="K350" t="str">
            <v>126-24</v>
          </cell>
        </row>
        <row r="351">
          <cell r="E351">
            <v>298.69</v>
          </cell>
          <cell r="K351" t="str">
            <v>126-25</v>
          </cell>
        </row>
        <row r="352">
          <cell r="E352">
            <v>298.69</v>
          </cell>
          <cell r="K352" t="str">
            <v>126-26</v>
          </cell>
        </row>
        <row r="353">
          <cell r="E353">
            <v>298.69</v>
          </cell>
          <cell r="K353" t="str">
            <v>126-27</v>
          </cell>
        </row>
        <row r="354">
          <cell r="E354">
            <v>298.69</v>
          </cell>
          <cell r="K354" t="str">
            <v>126-28</v>
          </cell>
        </row>
        <row r="355">
          <cell r="E355">
            <v>0</v>
          </cell>
          <cell r="K355" t="str">
            <v>156-</v>
          </cell>
        </row>
        <row r="356">
          <cell r="E356">
            <v>283</v>
          </cell>
          <cell r="K356" t="str">
            <v>156-2A</v>
          </cell>
        </row>
        <row r="357">
          <cell r="E357">
            <v>280.5</v>
          </cell>
          <cell r="K357" t="str">
            <v>156-3A</v>
          </cell>
        </row>
        <row r="358">
          <cell r="E358">
            <v>278</v>
          </cell>
          <cell r="K358" t="str">
            <v>156-4A</v>
          </cell>
        </row>
        <row r="359">
          <cell r="E359">
            <v>275</v>
          </cell>
          <cell r="K359" t="str">
            <v>156-5A</v>
          </cell>
        </row>
        <row r="360">
          <cell r="E360">
            <v>266</v>
          </cell>
          <cell r="K360" t="str">
            <v>156-6A</v>
          </cell>
        </row>
        <row r="361">
          <cell r="E361">
            <v>298.69</v>
          </cell>
          <cell r="K361" t="str">
            <v>156-8</v>
          </cell>
        </row>
        <row r="362">
          <cell r="E362">
            <v>298.69</v>
          </cell>
          <cell r="K362" t="str">
            <v>156-9</v>
          </cell>
        </row>
        <row r="363">
          <cell r="E363">
            <v>298.69</v>
          </cell>
          <cell r="K363" t="str">
            <v>156-10</v>
          </cell>
        </row>
        <row r="364">
          <cell r="E364">
            <v>298.69</v>
          </cell>
          <cell r="K364" t="str">
            <v>156-11</v>
          </cell>
        </row>
        <row r="365">
          <cell r="E365">
            <v>298.69</v>
          </cell>
          <cell r="K365" t="str">
            <v>156-12</v>
          </cell>
        </row>
        <row r="366">
          <cell r="E366">
            <v>298.69</v>
          </cell>
          <cell r="K366" t="str">
            <v>156-13</v>
          </cell>
        </row>
        <row r="367">
          <cell r="E367">
            <v>298.69</v>
          </cell>
          <cell r="K367" t="str">
            <v>156-14</v>
          </cell>
        </row>
        <row r="368">
          <cell r="E368">
            <v>298.69</v>
          </cell>
          <cell r="K368" t="str">
            <v>156-15</v>
          </cell>
        </row>
        <row r="369">
          <cell r="E369">
            <v>298.69</v>
          </cell>
          <cell r="K369" t="str">
            <v>156-16</v>
          </cell>
        </row>
        <row r="370">
          <cell r="E370">
            <v>298.69</v>
          </cell>
          <cell r="K370" t="str">
            <v>156-17</v>
          </cell>
        </row>
        <row r="371">
          <cell r="E371">
            <v>226.59</v>
          </cell>
          <cell r="K371" t="str">
            <v>156-18</v>
          </cell>
        </row>
        <row r="372">
          <cell r="E372">
            <v>230.83</v>
          </cell>
          <cell r="K372" t="str">
            <v>156-19</v>
          </cell>
        </row>
        <row r="373">
          <cell r="E373">
            <v>230.88</v>
          </cell>
          <cell r="K373" t="str">
            <v>156-20</v>
          </cell>
        </row>
        <row r="374">
          <cell r="E374">
            <v>230.88</v>
          </cell>
          <cell r="K374" t="str">
            <v>156-21</v>
          </cell>
        </row>
        <row r="375">
          <cell r="E375">
            <v>230.93</v>
          </cell>
          <cell r="K375" t="str">
            <v>156-22</v>
          </cell>
        </row>
        <row r="376">
          <cell r="E376">
            <v>226.48</v>
          </cell>
          <cell r="K376" t="str">
            <v>156-23</v>
          </cell>
        </row>
        <row r="377">
          <cell r="E377">
            <v>0</v>
          </cell>
          <cell r="K377" t="str">
            <v>156-</v>
          </cell>
        </row>
        <row r="378">
          <cell r="E378">
            <v>298.69</v>
          </cell>
          <cell r="K378" t="str">
            <v>156-25</v>
          </cell>
        </row>
        <row r="379">
          <cell r="E379">
            <v>298.69</v>
          </cell>
          <cell r="K379" t="str">
            <v>156-26</v>
          </cell>
        </row>
        <row r="380">
          <cell r="E380">
            <v>298.69</v>
          </cell>
          <cell r="K380" t="str">
            <v>156-27</v>
          </cell>
        </row>
        <row r="381">
          <cell r="E381">
            <v>298.69</v>
          </cell>
          <cell r="K381" t="str">
            <v>156-28</v>
          </cell>
        </row>
        <row r="382">
          <cell r="E382">
            <v>298.69</v>
          </cell>
          <cell r="K382" t="str">
            <v>156-29</v>
          </cell>
        </row>
        <row r="383">
          <cell r="E383">
            <v>0</v>
          </cell>
          <cell r="K383" t="str">
            <v>156-</v>
          </cell>
        </row>
        <row r="384">
          <cell r="E384">
            <v>0</v>
          </cell>
          <cell r="K384" t="str">
            <v>156-</v>
          </cell>
        </row>
        <row r="385">
          <cell r="E385">
            <v>298.69</v>
          </cell>
          <cell r="K385" t="str">
            <v>156-32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FF"/>
      </a:accent1>
      <a:accent2>
        <a:srgbClr val="FF0000"/>
      </a:accent2>
      <a:accent3>
        <a:srgbClr val="00B050"/>
      </a:accent3>
      <a:accent4>
        <a:srgbClr val="0F9ED5"/>
      </a:accent4>
      <a:accent5>
        <a:srgbClr val="A02B93"/>
      </a:accent5>
      <a:accent6>
        <a:srgbClr val="FF6600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9"/>
  <sheetViews>
    <sheetView showGridLines="0" tabSelected="1" workbookViewId="0">
      <pane xSplit="1" ySplit="1" topLeftCell="B173" activePane="bottomRight" state="frozen"/>
      <selection pane="topRight" activeCell="B1" sqref="B1"/>
      <selection pane="bottomLeft" activeCell="A4" sqref="A4"/>
      <selection pane="bottomRight" activeCell="I181" sqref="I181"/>
    </sheetView>
  </sheetViews>
  <sheetFormatPr defaultColWidth="14.44140625" defaultRowHeight="15" customHeight="1" outlineLevelCol="1" x14ac:dyDescent="0.3"/>
  <cols>
    <col min="1" max="1" width="8.6640625" customWidth="1"/>
    <col min="2" max="3" width="12.109375" customWidth="1" outlineLevel="1"/>
    <col min="4" max="5" width="12.109375" customWidth="1"/>
    <col min="6" max="11" width="8.88671875" customWidth="1" outlineLevel="1"/>
    <col min="12" max="12" width="12.33203125" customWidth="1" outlineLevel="1"/>
    <col min="13" max="13" width="13.6640625" customWidth="1"/>
    <col min="14" max="14" width="14.88671875" customWidth="1"/>
    <col min="15" max="16" width="12.6640625" customWidth="1"/>
    <col min="17" max="18" width="12.6640625" customWidth="1" outlineLevel="1"/>
    <col min="19" max="19" width="12.6640625" customWidth="1"/>
    <col min="20" max="20" width="12.6640625" customWidth="1" outlineLevel="1"/>
    <col min="21" max="22" width="10.6640625" customWidth="1"/>
    <col min="23" max="23" width="45.33203125" customWidth="1" outlineLevel="1"/>
    <col min="24" max="27" width="8.6640625" customWidth="1"/>
  </cols>
  <sheetData>
    <row r="1" spans="1:27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3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6" t="s">
        <v>19</v>
      </c>
      <c r="U1" s="8" t="s">
        <v>20</v>
      </c>
      <c r="V1" s="8" t="s">
        <v>21</v>
      </c>
      <c r="W1" s="9" t="s">
        <v>22</v>
      </c>
    </row>
    <row r="2" spans="1:27" ht="14.25" customHeight="1" x14ac:dyDescent="0.3">
      <c r="A2" s="10">
        <v>1</v>
      </c>
      <c r="B2" s="10">
        <v>5</v>
      </c>
      <c r="C2" s="11" t="s">
        <v>23</v>
      </c>
      <c r="D2" s="10">
        <v>1</v>
      </c>
      <c r="E2" s="10">
        <v>1</v>
      </c>
      <c r="F2" s="10">
        <v>199468</v>
      </c>
      <c r="G2" s="10">
        <v>46662</v>
      </c>
      <c r="H2" s="10">
        <v>442</v>
      </c>
      <c r="I2" s="10">
        <v>74463</v>
      </c>
      <c r="J2" s="10">
        <v>24495422</v>
      </c>
      <c r="K2" s="10">
        <v>94248</v>
      </c>
      <c r="L2" s="12">
        <v>2340837</v>
      </c>
      <c r="M2" s="13">
        <f>+_xlfn.XLOOKUP(D2&amp;"-"&amp;E2,'[1]Listado Lotes'!$K$3:$K$385,'[1]Listado Lotes'!$E$3:$E$385)</f>
        <v>230.52</v>
      </c>
      <c r="N2" s="28" t="s">
        <v>233</v>
      </c>
      <c r="O2" s="14" t="e">
        <v>#N/A</v>
      </c>
      <c r="P2" s="15" t="e">
        <v>#N/A</v>
      </c>
      <c r="Q2" s="16" t="e">
        <v>#N/A</v>
      </c>
      <c r="R2" s="16" t="e">
        <v>#N/A</v>
      </c>
      <c r="S2" s="17" t="e">
        <v>#N/A</v>
      </c>
      <c r="T2" s="17" t="e">
        <v>#N/A</v>
      </c>
      <c r="U2" s="18"/>
      <c r="V2" s="18"/>
      <c r="W2" s="18" t="e">
        <v>#N/A</v>
      </c>
      <c r="X2" s="19"/>
      <c r="Y2" s="19"/>
      <c r="Z2" s="19"/>
      <c r="AA2" s="19"/>
    </row>
    <row r="3" spans="1:27" ht="14.25" customHeight="1" x14ac:dyDescent="0.3">
      <c r="A3" s="11">
        <v>2</v>
      </c>
      <c r="B3" s="10">
        <v>5</v>
      </c>
      <c r="C3" s="11" t="s">
        <v>23</v>
      </c>
      <c r="D3" s="10">
        <v>1</v>
      </c>
      <c r="E3" s="10">
        <v>2</v>
      </c>
      <c r="F3" s="10">
        <v>199469</v>
      </c>
      <c r="G3" s="10">
        <v>46663</v>
      </c>
      <c r="H3" s="10">
        <v>442</v>
      </c>
      <c r="I3" s="10">
        <v>74464</v>
      </c>
      <c r="J3" s="10">
        <v>24495426</v>
      </c>
      <c r="K3" s="10">
        <v>95472</v>
      </c>
      <c r="L3" s="12">
        <v>2371238</v>
      </c>
      <c r="M3" s="13">
        <f>+_xlfn.XLOOKUP(D3&amp;"-"&amp;E3,'[1]Listado Lotes'!$K$3:$K$385,'[1]Listado Lotes'!$E$3:$E$385)</f>
        <v>233.98</v>
      </c>
      <c r="N3" s="28" t="s">
        <v>233</v>
      </c>
      <c r="O3" s="14" t="e">
        <v>#N/A</v>
      </c>
      <c r="P3" s="15" t="e">
        <v>#N/A</v>
      </c>
      <c r="Q3" s="16" t="e">
        <v>#N/A</v>
      </c>
      <c r="R3" s="16" t="e">
        <v>#N/A</v>
      </c>
      <c r="S3" s="17" t="e">
        <v>#N/A</v>
      </c>
      <c r="T3" s="17" t="e">
        <v>#N/A</v>
      </c>
      <c r="U3" s="18"/>
      <c r="V3" s="18"/>
      <c r="W3" s="18" t="e">
        <v>#N/A</v>
      </c>
      <c r="X3" s="19"/>
      <c r="Y3" s="19"/>
      <c r="Z3" s="19"/>
      <c r="AA3" s="19"/>
    </row>
    <row r="4" spans="1:27" ht="14.25" customHeight="1" x14ac:dyDescent="0.3">
      <c r="A4" s="11">
        <v>3</v>
      </c>
      <c r="B4" s="10">
        <v>5</v>
      </c>
      <c r="C4" s="11" t="s">
        <v>23</v>
      </c>
      <c r="D4" s="10">
        <v>1</v>
      </c>
      <c r="E4" s="10">
        <v>3</v>
      </c>
      <c r="F4" s="10">
        <v>199470</v>
      </c>
      <c r="G4" s="10">
        <v>46664</v>
      </c>
      <c r="H4" s="10">
        <v>442</v>
      </c>
      <c r="I4" s="10">
        <v>74465</v>
      </c>
      <c r="J4" s="10">
        <v>24495433</v>
      </c>
      <c r="K4" s="10">
        <v>75114</v>
      </c>
      <c r="L4" s="12">
        <v>1865606</v>
      </c>
      <c r="M4" s="13">
        <f>+_xlfn.XLOOKUP(D4&amp;"-"&amp;E4,'[1]Listado Lotes'!$K$3:$K$385,'[1]Listado Lotes'!$E$3:$E$385)</f>
        <v>233.98</v>
      </c>
      <c r="N4" s="28" t="s">
        <v>233</v>
      </c>
      <c r="O4" s="14" t="e">
        <v>#N/A</v>
      </c>
      <c r="P4" s="15" t="e">
        <v>#N/A</v>
      </c>
      <c r="Q4" s="16" t="e">
        <v>#N/A</v>
      </c>
      <c r="R4" s="16" t="e">
        <v>#N/A</v>
      </c>
      <c r="S4" s="17" t="e">
        <v>#N/A</v>
      </c>
      <c r="T4" s="17" t="e">
        <v>#N/A</v>
      </c>
      <c r="U4" s="18"/>
      <c r="V4" s="18"/>
      <c r="W4" s="18" t="e">
        <v>#N/A</v>
      </c>
      <c r="X4" s="19"/>
      <c r="Y4" s="19"/>
      <c r="Z4" s="19"/>
      <c r="AA4" s="19"/>
    </row>
    <row r="5" spans="1:27" ht="14.25" customHeight="1" x14ac:dyDescent="0.3">
      <c r="A5" s="11">
        <v>4</v>
      </c>
      <c r="B5" s="10">
        <v>5</v>
      </c>
      <c r="C5" s="11" t="s">
        <v>23</v>
      </c>
      <c r="D5" s="10">
        <v>1</v>
      </c>
      <c r="E5" s="10">
        <v>4</v>
      </c>
      <c r="F5" s="10">
        <v>199471</v>
      </c>
      <c r="G5" s="10">
        <v>46665</v>
      </c>
      <c r="H5" s="10">
        <v>442</v>
      </c>
      <c r="I5" s="10">
        <v>74466</v>
      </c>
      <c r="J5" s="10">
        <v>24495436</v>
      </c>
      <c r="K5" s="10">
        <v>75114</v>
      </c>
      <c r="L5" s="12">
        <v>1865606</v>
      </c>
      <c r="M5" s="13">
        <f>+_xlfn.XLOOKUP(D5&amp;"-"&amp;E5,'[1]Listado Lotes'!$K$3:$K$385,'[1]Listado Lotes'!$E$3:$E$385)</f>
        <v>233.98</v>
      </c>
      <c r="N5" s="28" t="s">
        <v>233</v>
      </c>
      <c r="O5" s="14" t="e">
        <v>#N/A</v>
      </c>
      <c r="P5" s="15" t="e">
        <v>#N/A</v>
      </c>
      <c r="Q5" s="16" t="e">
        <v>#N/A</v>
      </c>
      <c r="R5" s="16" t="e">
        <v>#N/A</v>
      </c>
      <c r="S5" s="17" t="e">
        <v>#N/A</v>
      </c>
      <c r="T5" s="17" t="e">
        <v>#N/A</v>
      </c>
      <c r="U5" s="18"/>
      <c r="V5" s="18"/>
      <c r="W5" s="18" t="e">
        <v>#N/A</v>
      </c>
      <c r="X5" s="19"/>
      <c r="Y5" s="19"/>
      <c r="Z5" s="19"/>
      <c r="AA5" s="19"/>
    </row>
    <row r="6" spans="1:27" ht="14.25" customHeight="1" x14ac:dyDescent="0.3">
      <c r="A6" s="11">
        <v>5</v>
      </c>
      <c r="B6" s="10">
        <v>5</v>
      </c>
      <c r="C6" s="11" t="s">
        <v>23</v>
      </c>
      <c r="D6" s="10">
        <v>1</v>
      </c>
      <c r="E6" s="10">
        <v>5</v>
      </c>
      <c r="F6" s="10">
        <v>199472</v>
      </c>
      <c r="G6" s="10">
        <v>46666</v>
      </c>
      <c r="H6" s="10">
        <v>442</v>
      </c>
      <c r="I6" s="10">
        <v>74467</v>
      </c>
      <c r="J6" s="10">
        <v>24495439</v>
      </c>
      <c r="K6" s="10">
        <v>75114</v>
      </c>
      <c r="L6" s="12">
        <v>1865606</v>
      </c>
      <c r="M6" s="13">
        <f>+_xlfn.XLOOKUP(D6&amp;"-"&amp;E6,'[1]Listado Lotes'!$K$3:$K$385,'[1]Listado Lotes'!$E$3:$E$385)</f>
        <v>233.98</v>
      </c>
      <c r="N6" s="28" t="s">
        <v>233</v>
      </c>
      <c r="O6" s="14" t="e">
        <v>#N/A</v>
      </c>
      <c r="P6" s="15" t="e">
        <v>#N/A</v>
      </c>
      <c r="Q6" s="16" t="e">
        <v>#N/A</v>
      </c>
      <c r="R6" s="16" t="e">
        <v>#N/A</v>
      </c>
      <c r="S6" s="17" t="e">
        <v>#N/A</v>
      </c>
      <c r="T6" s="17" t="e">
        <v>#N/A</v>
      </c>
      <c r="U6" s="18"/>
      <c r="V6" s="18"/>
      <c r="W6" s="18" t="e">
        <v>#N/A</v>
      </c>
      <c r="X6" s="19"/>
      <c r="Y6" s="19"/>
      <c r="Z6" s="19"/>
      <c r="AA6" s="19"/>
    </row>
    <row r="7" spans="1:27" ht="14.25" customHeight="1" x14ac:dyDescent="0.3">
      <c r="A7" s="11">
        <v>6</v>
      </c>
      <c r="B7" s="10">
        <v>5</v>
      </c>
      <c r="C7" s="11" t="s">
        <v>23</v>
      </c>
      <c r="D7" s="10">
        <v>1</v>
      </c>
      <c r="E7" s="10">
        <v>6</v>
      </c>
      <c r="F7" s="10">
        <v>199473</v>
      </c>
      <c r="G7" s="10">
        <v>46667</v>
      </c>
      <c r="H7" s="10">
        <v>442</v>
      </c>
      <c r="I7" s="10">
        <v>74468</v>
      </c>
      <c r="J7" s="10">
        <v>24495443</v>
      </c>
      <c r="K7" s="10">
        <v>75114</v>
      </c>
      <c r="L7" s="12">
        <v>1865606</v>
      </c>
      <c r="M7" s="13">
        <f>+_xlfn.XLOOKUP(D7&amp;"-"&amp;E7,'[1]Listado Lotes'!$K$3:$K$385,'[1]Listado Lotes'!$E$3:$E$385)</f>
        <v>233.98</v>
      </c>
      <c r="N7" s="28" t="s">
        <v>233</v>
      </c>
      <c r="O7" s="14" t="e">
        <v>#N/A</v>
      </c>
      <c r="P7" s="15" t="e">
        <v>#N/A</v>
      </c>
      <c r="Q7" s="16" t="e">
        <v>#N/A</v>
      </c>
      <c r="R7" s="16" t="e">
        <v>#N/A</v>
      </c>
      <c r="S7" s="17" t="e">
        <v>#N/A</v>
      </c>
      <c r="T7" s="17" t="e">
        <v>#N/A</v>
      </c>
      <c r="U7" s="18"/>
      <c r="V7" s="18"/>
      <c r="W7" s="18" t="e">
        <v>#N/A</v>
      </c>
      <c r="X7" s="19"/>
      <c r="Y7" s="19"/>
      <c r="Z7" s="19"/>
      <c r="AA7" s="19"/>
    </row>
    <row r="8" spans="1:27" ht="14.25" customHeight="1" x14ac:dyDescent="0.3">
      <c r="A8" s="11">
        <v>7</v>
      </c>
      <c r="B8" s="10">
        <v>5</v>
      </c>
      <c r="C8" s="11" t="s">
        <v>23</v>
      </c>
      <c r="D8" s="10">
        <v>1</v>
      </c>
      <c r="E8" s="10">
        <v>7</v>
      </c>
      <c r="F8" s="10">
        <v>199474</v>
      </c>
      <c r="G8" s="10">
        <v>46668</v>
      </c>
      <c r="H8" s="10">
        <v>442</v>
      </c>
      <c r="I8" s="10">
        <v>74469</v>
      </c>
      <c r="J8" s="10">
        <v>24495802</v>
      </c>
      <c r="K8" s="10">
        <v>98241</v>
      </c>
      <c r="L8" s="12">
        <v>2440026</v>
      </c>
      <c r="M8" s="13">
        <f>+_xlfn.XLOOKUP(D8&amp;"-"&amp;E8,'[1]Listado Lotes'!$K$3:$K$385,'[1]Listado Lotes'!$E$3:$E$385)</f>
        <v>229.5</v>
      </c>
      <c r="N8" s="28" t="s">
        <v>233</v>
      </c>
      <c r="O8" s="14" t="e">
        <v>#N/A</v>
      </c>
      <c r="P8" s="15" t="e">
        <v>#N/A</v>
      </c>
      <c r="Q8" s="16" t="e">
        <v>#N/A</v>
      </c>
      <c r="R8" s="16" t="e">
        <v>#N/A</v>
      </c>
      <c r="S8" s="17" t="e">
        <v>#N/A</v>
      </c>
      <c r="T8" s="17" t="e">
        <v>#N/A</v>
      </c>
      <c r="U8" s="18"/>
      <c r="V8" s="18"/>
      <c r="W8" s="18" t="e">
        <v>#N/A</v>
      </c>
      <c r="X8" s="19"/>
      <c r="Y8" s="19"/>
      <c r="Z8" s="19"/>
      <c r="AA8" s="19"/>
    </row>
    <row r="9" spans="1:27" ht="14.25" customHeight="1" x14ac:dyDescent="0.3">
      <c r="A9" s="11">
        <v>8</v>
      </c>
      <c r="B9" s="10">
        <v>5</v>
      </c>
      <c r="C9" s="11" t="s">
        <v>23</v>
      </c>
      <c r="D9" s="10">
        <v>1</v>
      </c>
      <c r="E9" s="10">
        <v>8</v>
      </c>
      <c r="F9" s="10">
        <v>199475</v>
      </c>
      <c r="G9" s="10">
        <v>44932</v>
      </c>
      <c r="H9" s="10">
        <v>442</v>
      </c>
      <c r="I9" s="10">
        <v>74992</v>
      </c>
      <c r="J9" s="10">
        <v>24495786</v>
      </c>
      <c r="K9" s="10">
        <v>107460</v>
      </c>
      <c r="L9" s="12">
        <v>2668984</v>
      </c>
      <c r="M9" s="13">
        <f>+_xlfn.XLOOKUP(D9&amp;"-"&amp;E9,'[1]Listado Lotes'!$K$3:$K$385,'[1]Listado Lotes'!$E$3:$E$385)</f>
        <v>398.26</v>
      </c>
      <c r="N9" s="28" t="s">
        <v>233</v>
      </c>
      <c r="O9" s="14" t="e">
        <v>#N/A</v>
      </c>
      <c r="P9" s="15" t="e">
        <v>#N/A</v>
      </c>
      <c r="Q9" s="16" t="e">
        <v>#N/A</v>
      </c>
      <c r="R9" s="16" t="e">
        <v>#N/A</v>
      </c>
      <c r="S9" s="17" t="e">
        <v>#N/A</v>
      </c>
      <c r="T9" s="17" t="e">
        <v>#N/A</v>
      </c>
      <c r="U9" s="18"/>
      <c r="V9" s="18"/>
      <c r="W9" s="18" t="e">
        <v>#N/A</v>
      </c>
      <c r="X9" s="19"/>
      <c r="Y9" s="19"/>
      <c r="Z9" s="19"/>
      <c r="AA9" s="19"/>
    </row>
    <row r="10" spans="1:27" ht="14.25" customHeight="1" x14ac:dyDescent="0.3">
      <c r="A10" s="11">
        <v>9</v>
      </c>
      <c r="B10" s="10">
        <v>5</v>
      </c>
      <c r="C10" s="11" t="s">
        <v>23</v>
      </c>
      <c r="D10" s="10">
        <v>1</v>
      </c>
      <c r="E10" s="10">
        <v>9</v>
      </c>
      <c r="F10" s="10">
        <v>199476</v>
      </c>
      <c r="G10" s="10">
        <v>46669</v>
      </c>
      <c r="H10" s="10">
        <v>442</v>
      </c>
      <c r="I10" s="10">
        <v>74470</v>
      </c>
      <c r="J10" s="10">
        <v>24495795</v>
      </c>
      <c r="K10" s="10">
        <v>107460</v>
      </c>
      <c r="L10" s="12">
        <v>2668984</v>
      </c>
      <c r="M10" s="13">
        <f>+_xlfn.XLOOKUP(D10&amp;"-"&amp;E10,'[1]Listado Lotes'!$K$3:$K$385,'[1]Listado Lotes'!$E$3:$E$385)</f>
        <v>398.26</v>
      </c>
      <c r="N10" s="28" t="s">
        <v>233</v>
      </c>
      <c r="O10" s="14" t="e">
        <v>#N/A</v>
      </c>
      <c r="P10" s="15" t="e">
        <v>#N/A</v>
      </c>
      <c r="Q10" s="16" t="e">
        <v>#N/A</v>
      </c>
      <c r="R10" s="16" t="e">
        <v>#N/A</v>
      </c>
      <c r="S10" s="17" t="e">
        <v>#N/A</v>
      </c>
      <c r="T10" s="17" t="e">
        <v>#N/A</v>
      </c>
      <c r="U10" s="18"/>
      <c r="V10" s="18"/>
      <c r="W10" s="18" t="e">
        <v>#N/A</v>
      </c>
      <c r="X10" s="19"/>
      <c r="Y10" s="19"/>
      <c r="Z10" s="19"/>
      <c r="AA10" s="19"/>
    </row>
    <row r="11" spans="1:27" ht="14.25" customHeight="1" x14ac:dyDescent="0.3">
      <c r="A11" s="11">
        <v>10</v>
      </c>
      <c r="B11" s="10">
        <v>5</v>
      </c>
      <c r="C11" s="11" t="s">
        <v>23</v>
      </c>
      <c r="D11" s="10">
        <v>1</v>
      </c>
      <c r="E11" s="10">
        <v>10</v>
      </c>
      <c r="F11" s="10">
        <v>199477</v>
      </c>
      <c r="G11" s="10">
        <v>46670</v>
      </c>
      <c r="H11" s="10">
        <v>442</v>
      </c>
      <c r="I11" s="10">
        <v>74471</v>
      </c>
      <c r="J11" s="10">
        <v>24495894</v>
      </c>
      <c r="K11" s="10">
        <v>107460</v>
      </c>
      <c r="L11" s="12">
        <v>2668984</v>
      </c>
      <c r="M11" s="13">
        <f>+_xlfn.XLOOKUP(D11&amp;"-"&amp;E11,'[1]Listado Lotes'!$K$3:$K$385,'[1]Listado Lotes'!$E$3:$E$385)</f>
        <v>398.26</v>
      </c>
      <c r="N11" s="28" t="s">
        <v>233</v>
      </c>
      <c r="O11" s="14" t="e">
        <v>#N/A</v>
      </c>
      <c r="P11" s="15" t="e">
        <v>#N/A</v>
      </c>
      <c r="Q11" s="16" t="e">
        <v>#N/A</v>
      </c>
      <c r="R11" s="16" t="e">
        <v>#N/A</v>
      </c>
      <c r="S11" s="17" t="e">
        <v>#N/A</v>
      </c>
      <c r="T11" s="17" t="e">
        <v>#N/A</v>
      </c>
      <c r="U11" s="18"/>
      <c r="V11" s="18"/>
      <c r="W11" s="18" t="e">
        <v>#N/A</v>
      </c>
      <c r="X11" s="19"/>
      <c r="Y11" s="19"/>
      <c r="Z11" s="19"/>
      <c r="AA11" s="19"/>
    </row>
    <row r="12" spans="1:27" ht="14.25" customHeight="1" x14ac:dyDescent="0.3">
      <c r="A12" s="11">
        <v>11</v>
      </c>
      <c r="B12" s="10">
        <v>5</v>
      </c>
      <c r="C12" s="11" t="s">
        <v>23</v>
      </c>
      <c r="D12" s="10">
        <v>1</v>
      </c>
      <c r="E12" s="10">
        <v>11</v>
      </c>
      <c r="F12" s="10">
        <v>199478</v>
      </c>
      <c r="G12" s="10">
        <v>46671</v>
      </c>
      <c r="H12" s="10">
        <v>442</v>
      </c>
      <c r="I12" s="10">
        <v>74472</v>
      </c>
      <c r="J12" s="10">
        <v>24495897</v>
      </c>
      <c r="K12" s="10">
        <v>107460</v>
      </c>
      <c r="L12" s="12">
        <v>2668984</v>
      </c>
      <c r="M12" s="13">
        <f>+_xlfn.XLOOKUP(D12&amp;"-"&amp;E12,'[1]Listado Lotes'!$K$3:$K$385,'[1]Listado Lotes'!$E$3:$E$385)</f>
        <v>398.26</v>
      </c>
      <c r="N12" s="28" t="s">
        <v>233</v>
      </c>
      <c r="O12" s="14" t="e">
        <v>#N/A</v>
      </c>
      <c r="P12" s="15" t="e">
        <v>#N/A</v>
      </c>
      <c r="Q12" s="16" t="e">
        <v>#N/A</v>
      </c>
      <c r="R12" s="16" t="e">
        <v>#N/A</v>
      </c>
      <c r="S12" s="17" t="e">
        <v>#N/A</v>
      </c>
      <c r="T12" s="17" t="e">
        <v>#N/A</v>
      </c>
      <c r="U12" s="18"/>
      <c r="V12" s="18"/>
      <c r="W12" s="18" t="e">
        <v>#N/A</v>
      </c>
      <c r="X12" s="19"/>
      <c r="Y12" s="19"/>
      <c r="Z12" s="19"/>
      <c r="AA12" s="19"/>
    </row>
    <row r="13" spans="1:27" ht="14.25" customHeight="1" x14ac:dyDescent="0.3">
      <c r="A13" s="11">
        <v>12</v>
      </c>
      <c r="B13" s="10">
        <v>5</v>
      </c>
      <c r="C13" s="11" t="s">
        <v>23</v>
      </c>
      <c r="D13" s="10">
        <v>1</v>
      </c>
      <c r="E13" s="10">
        <v>12</v>
      </c>
      <c r="F13" s="10">
        <v>199479</v>
      </c>
      <c r="G13" s="10">
        <v>466672</v>
      </c>
      <c r="H13" s="10">
        <v>442</v>
      </c>
      <c r="I13" s="10">
        <v>74474</v>
      </c>
      <c r="J13" s="10">
        <v>24495902</v>
      </c>
      <c r="K13" s="10">
        <v>107460</v>
      </c>
      <c r="L13" s="12">
        <v>2668984</v>
      </c>
      <c r="M13" s="13">
        <f>+_xlfn.XLOOKUP(D13&amp;"-"&amp;E13,'[1]Listado Lotes'!$K$3:$K$385,'[1]Listado Lotes'!$E$3:$E$385)</f>
        <v>398.26</v>
      </c>
      <c r="N13" s="28" t="s">
        <v>233</v>
      </c>
      <c r="O13" s="14" t="e">
        <v>#N/A</v>
      </c>
      <c r="P13" s="15" t="e">
        <v>#N/A</v>
      </c>
      <c r="Q13" s="16" t="e">
        <v>#N/A</v>
      </c>
      <c r="R13" s="16" t="e">
        <v>#N/A</v>
      </c>
      <c r="S13" s="17" t="e">
        <v>#N/A</v>
      </c>
      <c r="T13" s="17" t="e">
        <v>#N/A</v>
      </c>
      <c r="U13" s="18"/>
      <c r="V13" s="18"/>
      <c r="W13" s="18" t="e">
        <v>#N/A</v>
      </c>
      <c r="X13" s="19"/>
      <c r="Y13" s="19"/>
      <c r="Z13" s="19"/>
      <c r="AA13" s="19"/>
    </row>
    <row r="14" spans="1:27" ht="14.25" customHeight="1" x14ac:dyDescent="0.3">
      <c r="A14" s="11">
        <v>13</v>
      </c>
      <c r="B14" s="10">
        <v>5</v>
      </c>
      <c r="C14" s="11" t="s">
        <v>23</v>
      </c>
      <c r="D14" s="10">
        <v>1</v>
      </c>
      <c r="E14" s="10">
        <v>13</v>
      </c>
      <c r="F14" s="10">
        <v>199480</v>
      </c>
      <c r="G14" s="10">
        <v>46673</v>
      </c>
      <c r="H14" s="10">
        <v>442</v>
      </c>
      <c r="I14" s="10">
        <v>74475</v>
      </c>
      <c r="J14" s="10">
        <v>24495905</v>
      </c>
      <c r="K14" s="10">
        <v>107460</v>
      </c>
      <c r="L14" s="12">
        <v>2668984</v>
      </c>
      <c r="M14" s="13">
        <f>+_xlfn.XLOOKUP(D14&amp;"-"&amp;E14,'[1]Listado Lotes'!$K$3:$K$385,'[1]Listado Lotes'!$E$3:$E$385)</f>
        <v>398.26</v>
      </c>
      <c r="N14" s="28" t="s">
        <v>233</v>
      </c>
      <c r="O14" s="14" t="e">
        <v>#N/A</v>
      </c>
      <c r="P14" s="15" t="e">
        <v>#N/A</v>
      </c>
      <c r="Q14" s="16" t="e">
        <v>#N/A</v>
      </c>
      <c r="R14" s="16" t="e">
        <v>#N/A</v>
      </c>
      <c r="S14" s="17" t="e">
        <v>#N/A</v>
      </c>
      <c r="T14" s="17" t="e">
        <v>#N/A</v>
      </c>
      <c r="U14" s="18"/>
      <c r="V14" s="18"/>
      <c r="W14" s="18" t="e">
        <v>#N/A</v>
      </c>
      <c r="X14" s="19"/>
      <c r="Y14" s="19"/>
      <c r="Z14" s="19"/>
      <c r="AA14" s="19"/>
    </row>
    <row r="15" spans="1:27" ht="14.25" customHeight="1" x14ac:dyDescent="0.3">
      <c r="A15" s="11">
        <v>14</v>
      </c>
      <c r="B15" s="10">
        <v>5</v>
      </c>
      <c r="C15" s="11" t="s">
        <v>23</v>
      </c>
      <c r="D15" s="10">
        <v>1</v>
      </c>
      <c r="E15" s="10">
        <v>14</v>
      </c>
      <c r="F15" s="10">
        <v>199481</v>
      </c>
      <c r="G15" s="10">
        <v>46674</v>
      </c>
      <c r="H15" s="10">
        <v>442</v>
      </c>
      <c r="I15" s="10">
        <v>74476</v>
      </c>
      <c r="J15" s="10">
        <v>24495907</v>
      </c>
      <c r="K15" s="10">
        <v>107460</v>
      </c>
      <c r="L15" s="12">
        <v>2668984</v>
      </c>
      <c r="M15" s="13">
        <f>+_xlfn.XLOOKUP(D15&amp;"-"&amp;E15,'[1]Listado Lotes'!$K$3:$K$385,'[1]Listado Lotes'!$E$3:$E$385)</f>
        <v>398.26</v>
      </c>
      <c r="N15" s="28" t="s">
        <v>233</v>
      </c>
      <c r="O15" s="14" t="e">
        <v>#N/A</v>
      </c>
      <c r="P15" s="15" t="e">
        <v>#N/A</v>
      </c>
      <c r="Q15" s="16" t="e">
        <v>#N/A</v>
      </c>
      <c r="R15" s="16" t="e">
        <v>#N/A</v>
      </c>
      <c r="S15" s="17" t="e">
        <v>#N/A</v>
      </c>
      <c r="T15" s="17" t="e">
        <v>#N/A</v>
      </c>
      <c r="U15" s="18"/>
      <c r="V15" s="18"/>
      <c r="W15" s="18" t="e">
        <v>#N/A</v>
      </c>
      <c r="X15" s="19"/>
      <c r="Y15" s="19"/>
      <c r="Z15" s="19"/>
      <c r="AA15" s="19"/>
    </row>
    <row r="16" spans="1:27" ht="14.25" customHeight="1" x14ac:dyDescent="0.3">
      <c r="A16" s="11">
        <v>15</v>
      </c>
      <c r="B16" s="10">
        <v>5</v>
      </c>
      <c r="C16" s="11" t="s">
        <v>23</v>
      </c>
      <c r="D16" s="10">
        <v>1</v>
      </c>
      <c r="E16" s="10">
        <v>15</v>
      </c>
      <c r="F16" s="10">
        <v>199482</v>
      </c>
      <c r="G16" s="10">
        <v>46675</v>
      </c>
      <c r="H16" s="10">
        <v>442</v>
      </c>
      <c r="I16" s="10">
        <v>74477</v>
      </c>
      <c r="J16" s="10">
        <v>24495911</v>
      </c>
      <c r="K16" s="10">
        <v>107460</v>
      </c>
      <c r="L16" s="12">
        <v>2668984</v>
      </c>
      <c r="M16" s="13">
        <f>+_xlfn.XLOOKUP(D16&amp;"-"&amp;E16,'[1]Listado Lotes'!$K$3:$K$385,'[1]Listado Lotes'!$E$3:$E$385)</f>
        <v>398.26</v>
      </c>
      <c r="N16" s="28" t="s">
        <v>233</v>
      </c>
      <c r="O16" s="14" t="e">
        <v>#N/A</v>
      </c>
      <c r="P16" s="15" t="e">
        <v>#N/A</v>
      </c>
      <c r="Q16" s="16" t="e">
        <v>#N/A</v>
      </c>
      <c r="R16" s="16" t="e">
        <v>#N/A</v>
      </c>
      <c r="S16" s="17" t="e">
        <v>#N/A</v>
      </c>
      <c r="T16" s="17" t="e">
        <v>#N/A</v>
      </c>
      <c r="U16" s="18"/>
      <c r="V16" s="18"/>
      <c r="W16" s="18" t="e">
        <v>#N/A</v>
      </c>
      <c r="X16" s="19"/>
      <c r="Y16" s="19"/>
      <c r="Z16" s="19"/>
      <c r="AA16" s="19"/>
    </row>
    <row r="17" spans="1:27" ht="14.25" customHeight="1" x14ac:dyDescent="0.3">
      <c r="A17" s="11">
        <v>16</v>
      </c>
      <c r="B17" s="10">
        <v>5</v>
      </c>
      <c r="C17" s="11" t="s">
        <v>23</v>
      </c>
      <c r="D17" s="10">
        <v>1</v>
      </c>
      <c r="E17" s="10">
        <v>16</v>
      </c>
      <c r="F17" s="10">
        <v>199483</v>
      </c>
      <c r="G17" s="10">
        <v>46676</v>
      </c>
      <c r="H17" s="10">
        <v>442</v>
      </c>
      <c r="I17" s="10">
        <v>74478</v>
      </c>
      <c r="J17" s="10">
        <v>24495914</v>
      </c>
      <c r="K17" s="10">
        <v>98241</v>
      </c>
      <c r="L17" s="12">
        <v>2440026</v>
      </c>
      <c r="M17" s="13">
        <f>+_xlfn.XLOOKUP(D17&amp;"-"&amp;E17,'[1]Listado Lotes'!$K$3:$K$385,'[1]Listado Lotes'!$E$3:$E$385)</f>
        <v>229.5</v>
      </c>
      <c r="N17" s="28" t="s">
        <v>233</v>
      </c>
      <c r="O17" s="14" t="e">
        <v>#N/A</v>
      </c>
      <c r="P17" s="15" t="e">
        <v>#N/A</v>
      </c>
      <c r="Q17" s="16" t="e">
        <v>#N/A</v>
      </c>
      <c r="R17" s="16" t="e">
        <v>#N/A</v>
      </c>
      <c r="S17" s="17" t="e">
        <v>#N/A</v>
      </c>
      <c r="T17" s="17" t="e">
        <v>#N/A</v>
      </c>
      <c r="U17" s="18"/>
      <c r="V17" s="18"/>
      <c r="W17" s="18" t="e">
        <v>#N/A</v>
      </c>
      <c r="X17" s="19"/>
      <c r="Y17" s="19"/>
      <c r="Z17" s="19"/>
      <c r="AA17" s="19"/>
    </row>
    <row r="18" spans="1:27" ht="14.25" customHeight="1" x14ac:dyDescent="0.3">
      <c r="A18" s="11">
        <v>17</v>
      </c>
      <c r="B18" s="10">
        <v>5</v>
      </c>
      <c r="C18" s="11" t="s">
        <v>23</v>
      </c>
      <c r="D18" s="10">
        <v>1</v>
      </c>
      <c r="E18" s="10">
        <v>17</v>
      </c>
      <c r="F18" s="10">
        <v>199484</v>
      </c>
      <c r="G18" s="10">
        <v>46677</v>
      </c>
      <c r="H18" s="10">
        <v>442</v>
      </c>
      <c r="I18" s="10">
        <v>74479</v>
      </c>
      <c r="J18" s="10">
        <v>24495937</v>
      </c>
      <c r="K18" s="10">
        <v>75114</v>
      </c>
      <c r="L18" s="12">
        <v>1865606</v>
      </c>
      <c r="M18" s="13">
        <f>+_xlfn.XLOOKUP(D18&amp;"-"&amp;E18,'[1]Listado Lotes'!$K$3:$K$385,'[1]Listado Lotes'!$E$3:$E$385)</f>
        <v>233.98</v>
      </c>
      <c r="N18" s="28" t="s">
        <v>233</v>
      </c>
      <c r="O18" s="14" t="e">
        <v>#N/A</v>
      </c>
      <c r="P18" s="15" t="e">
        <v>#N/A</v>
      </c>
      <c r="Q18" s="16" t="e">
        <v>#N/A</v>
      </c>
      <c r="R18" s="16" t="e">
        <v>#N/A</v>
      </c>
      <c r="S18" s="17" t="e">
        <v>#N/A</v>
      </c>
      <c r="T18" s="17" t="e">
        <v>#N/A</v>
      </c>
      <c r="U18" s="18"/>
      <c r="V18" s="18"/>
      <c r="W18" s="18" t="e">
        <v>#N/A</v>
      </c>
      <c r="X18" s="19"/>
      <c r="Y18" s="19"/>
      <c r="Z18" s="19"/>
      <c r="AA18" s="19"/>
    </row>
    <row r="19" spans="1:27" ht="14.25" customHeight="1" x14ac:dyDescent="0.3">
      <c r="A19" s="11">
        <v>18</v>
      </c>
      <c r="B19" s="10">
        <v>5</v>
      </c>
      <c r="C19" s="11" t="s">
        <v>23</v>
      </c>
      <c r="D19" s="10">
        <v>1</v>
      </c>
      <c r="E19" s="10">
        <v>18</v>
      </c>
      <c r="F19" s="10">
        <v>199485</v>
      </c>
      <c r="G19" s="10">
        <v>46678</v>
      </c>
      <c r="H19" s="10">
        <v>442</v>
      </c>
      <c r="I19" s="10">
        <v>74480</v>
      </c>
      <c r="J19" s="10">
        <v>24495939</v>
      </c>
      <c r="K19" s="10">
        <v>75114</v>
      </c>
      <c r="L19" s="12">
        <v>1865606</v>
      </c>
      <c r="M19" s="13">
        <f>+_xlfn.XLOOKUP(D19&amp;"-"&amp;E19,'[1]Listado Lotes'!$K$3:$K$385,'[1]Listado Lotes'!$E$3:$E$385)</f>
        <v>233.98</v>
      </c>
      <c r="N19" s="28" t="s">
        <v>233</v>
      </c>
      <c r="O19" s="14" t="e">
        <v>#N/A</v>
      </c>
      <c r="P19" s="15" t="e">
        <v>#N/A</v>
      </c>
      <c r="Q19" s="16" t="e">
        <v>#N/A</v>
      </c>
      <c r="R19" s="16" t="e">
        <v>#N/A</v>
      </c>
      <c r="S19" s="17" t="e">
        <v>#N/A</v>
      </c>
      <c r="T19" s="17" t="e">
        <v>#N/A</v>
      </c>
      <c r="U19" s="18"/>
      <c r="V19" s="18"/>
      <c r="W19" s="18" t="e">
        <v>#N/A</v>
      </c>
      <c r="X19" s="19"/>
      <c r="Y19" s="19"/>
      <c r="Z19" s="19"/>
      <c r="AA19" s="19"/>
    </row>
    <row r="20" spans="1:27" ht="14.25" customHeight="1" x14ac:dyDescent="0.3">
      <c r="A20" s="11">
        <v>19</v>
      </c>
      <c r="B20" s="10">
        <v>5</v>
      </c>
      <c r="C20" s="11" t="s">
        <v>23</v>
      </c>
      <c r="D20" s="10">
        <v>1</v>
      </c>
      <c r="E20" s="10">
        <v>19</v>
      </c>
      <c r="F20" s="10">
        <v>199486</v>
      </c>
      <c r="G20" s="10">
        <v>46679</v>
      </c>
      <c r="H20" s="10">
        <v>442</v>
      </c>
      <c r="I20" s="10">
        <v>74481</v>
      </c>
      <c r="J20" s="10">
        <v>24495941</v>
      </c>
      <c r="K20" s="10">
        <v>75114</v>
      </c>
      <c r="L20" s="12">
        <v>1865606</v>
      </c>
      <c r="M20" s="13">
        <f>+_xlfn.XLOOKUP(D20&amp;"-"&amp;E20,'[1]Listado Lotes'!$K$3:$K$385,'[1]Listado Lotes'!$E$3:$E$385)</f>
        <v>233.98</v>
      </c>
      <c r="N20" s="28" t="s">
        <v>233</v>
      </c>
      <c r="O20" s="14" t="e">
        <v>#N/A</v>
      </c>
      <c r="P20" s="15" t="e">
        <v>#N/A</v>
      </c>
      <c r="Q20" s="16" t="e">
        <v>#N/A</v>
      </c>
      <c r="R20" s="16" t="e">
        <v>#N/A</v>
      </c>
      <c r="S20" s="17" t="e">
        <v>#N/A</v>
      </c>
      <c r="T20" s="17" t="e">
        <v>#N/A</v>
      </c>
      <c r="U20" s="18"/>
      <c r="V20" s="18"/>
      <c r="W20" s="18" t="e">
        <v>#N/A</v>
      </c>
      <c r="X20" s="19"/>
      <c r="Y20" s="19"/>
      <c r="Z20" s="19"/>
      <c r="AA20" s="19"/>
    </row>
    <row r="21" spans="1:27" ht="14.25" customHeight="1" x14ac:dyDescent="0.3">
      <c r="A21" s="11">
        <v>20</v>
      </c>
      <c r="B21" s="10">
        <v>5</v>
      </c>
      <c r="C21" s="11" t="s">
        <v>23</v>
      </c>
      <c r="D21" s="10">
        <v>1</v>
      </c>
      <c r="E21" s="10">
        <v>20</v>
      </c>
      <c r="F21" s="10">
        <v>199487</v>
      </c>
      <c r="G21" s="10">
        <v>46680</v>
      </c>
      <c r="H21" s="10">
        <v>442</v>
      </c>
      <c r="I21" s="10">
        <v>74482</v>
      </c>
      <c r="J21" s="10">
        <v>24495967</v>
      </c>
      <c r="K21" s="10">
        <v>75114</v>
      </c>
      <c r="L21" s="12">
        <v>1865606</v>
      </c>
      <c r="M21" s="13">
        <f>+_xlfn.XLOOKUP(D21&amp;"-"&amp;E21,'[1]Listado Lotes'!$K$3:$K$385,'[1]Listado Lotes'!$E$3:$E$385)</f>
        <v>233.98</v>
      </c>
      <c r="N21" s="28" t="s">
        <v>233</v>
      </c>
      <c r="O21" s="14" t="e">
        <v>#N/A</v>
      </c>
      <c r="P21" s="15" t="e">
        <v>#N/A</v>
      </c>
      <c r="Q21" s="16" t="e">
        <v>#N/A</v>
      </c>
      <c r="R21" s="16" t="e">
        <v>#N/A</v>
      </c>
      <c r="S21" s="17" t="e">
        <v>#N/A</v>
      </c>
      <c r="T21" s="17" t="e">
        <v>#N/A</v>
      </c>
      <c r="U21" s="18"/>
      <c r="V21" s="18"/>
      <c r="W21" s="18" t="e">
        <v>#N/A</v>
      </c>
      <c r="X21" s="19"/>
      <c r="Y21" s="19"/>
      <c r="Z21" s="19"/>
      <c r="AA21" s="19"/>
    </row>
    <row r="22" spans="1:27" ht="14.25" customHeight="1" x14ac:dyDescent="0.3">
      <c r="A22" s="11">
        <v>21</v>
      </c>
      <c r="B22" s="10">
        <v>5</v>
      </c>
      <c r="C22" s="11" t="s">
        <v>23</v>
      </c>
      <c r="D22" s="10">
        <v>1</v>
      </c>
      <c r="E22" s="10">
        <v>21</v>
      </c>
      <c r="F22" s="10">
        <v>199488</v>
      </c>
      <c r="G22" s="10">
        <v>46681</v>
      </c>
      <c r="H22" s="10">
        <v>442</v>
      </c>
      <c r="I22" s="10">
        <v>74483</v>
      </c>
      <c r="J22" s="10">
        <v>24490369</v>
      </c>
      <c r="K22" s="10">
        <v>75114</v>
      </c>
      <c r="L22" s="12">
        <v>1865606</v>
      </c>
      <c r="M22" s="13">
        <f>+_xlfn.XLOOKUP(D22&amp;"-"&amp;E22,'[1]Listado Lotes'!$K$3:$K$385,'[1]Listado Lotes'!$E$3:$E$385)</f>
        <v>233.98</v>
      </c>
      <c r="N22" s="28" t="s">
        <v>233</v>
      </c>
      <c r="O22" s="14" t="e">
        <v>#N/A</v>
      </c>
      <c r="P22" s="15" t="e">
        <v>#N/A</v>
      </c>
      <c r="Q22" s="16" t="e">
        <v>#N/A</v>
      </c>
      <c r="R22" s="16" t="e">
        <v>#N/A</v>
      </c>
      <c r="S22" s="17" t="e">
        <v>#N/A</v>
      </c>
      <c r="T22" s="17" t="e">
        <v>#N/A</v>
      </c>
      <c r="U22" s="18"/>
      <c r="V22" s="18"/>
      <c r="W22" s="18" t="e">
        <v>#N/A</v>
      </c>
      <c r="X22" s="19"/>
      <c r="Y22" s="19"/>
      <c r="Z22" s="19"/>
      <c r="AA22" s="19"/>
    </row>
    <row r="23" spans="1:27" ht="14.25" customHeight="1" x14ac:dyDescent="0.3">
      <c r="A23" s="11">
        <v>22</v>
      </c>
      <c r="B23" s="10">
        <v>5</v>
      </c>
      <c r="C23" s="11" t="s">
        <v>23</v>
      </c>
      <c r="D23" s="10">
        <v>1</v>
      </c>
      <c r="E23" s="10">
        <v>22</v>
      </c>
      <c r="F23" s="10">
        <v>199489</v>
      </c>
      <c r="G23" s="10">
        <v>46682</v>
      </c>
      <c r="H23" s="10">
        <v>442</v>
      </c>
      <c r="I23" s="10">
        <v>74514</v>
      </c>
      <c r="J23" s="10">
        <v>24490380</v>
      </c>
      <c r="K23" s="10">
        <v>94248</v>
      </c>
      <c r="L23" s="12">
        <v>2340837</v>
      </c>
      <c r="M23" s="13">
        <f>+_xlfn.XLOOKUP(D23&amp;"-"&amp;E23,'[1]Listado Lotes'!$K$3:$K$385,'[1]Listado Lotes'!$E$3:$E$385)</f>
        <v>230.52</v>
      </c>
      <c r="N23" s="28" t="s">
        <v>233</v>
      </c>
      <c r="O23" s="14" t="e">
        <v>#N/A</v>
      </c>
      <c r="P23" s="15" t="e">
        <v>#N/A</v>
      </c>
      <c r="Q23" s="16" t="e">
        <v>#N/A</v>
      </c>
      <c r="R23" s="16" t="e">
        <v>#N/A</v>
      </c>
      <c r="S23" s="17" t="e">
        <v>#N/A</v>
      </c>
      <c r="T23" s="17" t="e">
        <v>#N/A</v>
      </c>
      <c r="U23" s="18"/>
      <c r="V23" s="18"/>
      <c r="W23" s="18" t="e">
        <v>#N/A</v>
      </c>
      <c r="X23" s="19"/>
      <c r="Y23" s="19"/>
      <c r="Z23" s="19"/>
      <c r="AA23" s="19"/>
    </row>
    <row r="24" spans="1:27" ht="14.25" customHeight="1" x14ac:dyDescent="0.3">
      <c r="A24" s="11">
        <v>23</v>
      </c>
      <c r="B24" s="10">
        <v>5</v>
      </c>
      <c r="C24" s="11" t="s">
        <v>23</v>
      </c>
      <c r="D24" s="10">
        <v>1</v>
      </c>
      <c r="E24" s="10">
        <v>23</v>
      </c>
      <c r="F24" s="10">
        <v>199490</v>
      </c>
      <c r="G24" s="10">
        <v>46683</v>
      </c>
      <c r="H24" s="10">
        <v>442</v>
      </c>
      <c r="I24" s="10">
        <v>74515</v>
      </c>
      <c r="J24" s="10">
        <v>24490383</v>
      </c>
      <c r="K24" s="10">
        <v>81075</v>
      </c>
      <c r="L24" s="12">
        <v>2013674</v>
      </c>
      <c r="M24" s="13">
        <f>+_xlfn.XLOOKUP(D24&amp;"-"&amp;E24,'[1]Listado Lotes'!$K$3:$K$385,'[1]Listado Lotes'!$E$3:$E$385)</f>
        <v>235</v>
      </c>
      <c r="N24" s="28" t="s">
        <v>233</v>
      </c>
      <c r="O24" s="14" t="e">
        <v>#N/A</v>
      </c>
      <c r="P24" s="15" t="e">
        <v>#N/A</v>
      </c>
      <c r="Q24" s="16" t="e">
        <v>#N/A</v>
      </c>
      <c r="R24" s="16" t="e">
        <v>#N/A</v>
      </c>
      <c r="S24" s="17" t="e">
        <v>#N/A</v>
      </c>
      <c r="T24" s="17" t="e">
        <v>#N/A</v>
      </c>
      <c r="U24" s="18"/>
      <c r="V24" s="18"/>
      <c r="W24" s="18" t="e">
        <v>#N/A</v>
      </c>
      <c r="X24" s="19"/>
      <c r="Y24" s="19"/>
      <c r="Z24" s="19"/>
      <c r="AA24" s="19"/>
    </row>
    <row r="25" spans="1:27" ht="14.25" customHeight="1" x14ac:dyDescent="0.3">
      <c r="A25" s="11">
        <v>24</v>
      </c>
      <c r="B25" s="10">
        <v>5</v>
      </c>
      <c r="C25" s="11" t="s">
        <v>23</v>
      </c>
      <c r="D25" s="10">
        <v>1</v>
      </c>
      <c r="E25" s="10">
        <v>24</v>
      </c>
      <c r="F25" s="10">
        <v>199491</v>
      </c>
      <c r="G25" s="10">
        <v>46684</v>
      </c>
      <c r="H25" s="10">
        <v>442</v>
      </c>
      <c r="I25" s="10">
        <v>74516</v>
      </c>
      <c r="J25" s="10">
        <v>24490384</v>
      </c>
      <c r="K25" s="10">
        <v>107730</v>
      </c>
      <c r="L25" s="12">
        <v>2675690</v>
      </c>
      <c r="M25" s="13">
        <f>+_xlfn.XLOOKUP(D25&amp;"-"&amp;E25,'[1]Listado Lotes'!$K$3:$K$385,'[1]Listado Lotes'!$E$3:$E$385)</f>
        <v>399.15</v>
      </c>
      <c r="N25" s="28" t="s">
        <v>233</v>
      </c>
      <c r="O25" s="14" t="e">
        <v>#N/A</v>
      </c>
      <c r="P25" s="15" t="e">
        <v>#N/A</v>
      </c>
      <c r="Q25" s="16" t="e">
        <v>#N/A</v>
      </c>
      <c r="R25" s="16" t="e">
        <v>#N/A</v>
      </c>
      <c r="S25" s="17" t="e">
        <v>#N/A</v>
      </c>
      <c r="T25" s="17" t="e">
        <v>#N/A</v>
      </c>
      <c r="U25" s="18"/>
      <c r="V25" s="18"/>
      <c r="W25" s="18" t="e">
        <v>#N/A</v>
      </c>
      <c r="X25" s="19"/>
      <c r="Y25" s="19"/>
      <c r="Z25" s="19"/>
      <c r="AA25" s="19"/>
    </row>
    <row r="26" spans="1:27" ht="14.25" customHeight="1" x14ac:dyDescent="0.3">
      <c r="A26" s="11">
        <v>25</v>
      </c>
      <c r="B26" s="10">
        <v>5</v>
      </c>
      <c r="C26" s="11" t="s">
        <v>23</v>
      </c>
      <c r="D26" s="10">
        <v>1</v>
      </c>
      <c r="E26" s="10">
        <v>25</v>
      </c>
      <c r="F26" s="10">
        <v>199492</v>
      </c>
      <c r="G26" s="10">
        <v>46685</v>
      </c>
      <c r="H26" s="10">
        <v>442</v>
      </c>
      <c r="I26" s="10">
        <v>74517</v>
      </c>
      <c r="J26" s="10">
        <v>24490387</v>
      </c>
      <c r="K26" s="10">
        <v>107730</v>
      </c>
      <c r="L26" s="12">
        <v>2675690</v>
      </c>
      <c r="M26" s="13">
        <f>+_xlfn.XLOOKUP(D26&amp;"-"&amp;E26,'[1]Listado Lotes'!$K$3:$K$385,'[1]Listado Lotes'!$E$3:$E$385)</f>
        <v>399.15</v>
      </c>
      <c r="N26" s="28" t="s">
        <v>233</v>
      </c>
      <c r="O26" s="14" t="e">
        <v>#N/A</v>
      </c>
      <c r="P26" s="15" t="e">
        <v>#N/A</v>
      </c>
      <c r="Q26" s="16" t="e">
        <v>#N/A</v>
      </c>
      <c r="R26" s="16" t="e">
        <v>#N/A</v>
      </c>
      <c r="S26" s="17" t="e">
        <v>#N/A</v>
      </c>
      <c r="T26" s="17" t="e">
        <v>#N/A</v>
      </c>
      <c r="U26" s="18"/>
      <c r="V26" s="18"/>
      <c r="W26" s="18" t="e">
        <v>#N/A</v>
      </c>
      <c r="X26" s="19"/>
      <c r="Y26" s="19"/>
      <c r="Z26" s="19"/>
      <c r="AA26" s="19"/>
    </row>
    <row r="27" spans="1:27" ht="14.25" customHeight="1" x14ac:dyDescent="0.3">
      <c r="A27" s="11">
        <v>26</v>
      </c>
      <c r="B27" s="10">
        <v>5</v>
      </c>
      <c r="C27" s="11" t="s">
        <v>23</v>
      </c>
      <c r="D27" s="10">
        <v>1</v>
      </c>
      <c r="E27" s="10">
        <v>26</v>
      </c>
      <c r="F27" s="10">
        <v>199493</v>
      </c>
      <c r="G27" s="10">
        <v>46686</v>
      </c>
      <c r="H27" s="10">
        <v>442</v>
      </c>
      <c r="I27" s="10">
        <v>74518</v>
      </c>
      <c r="J27" s="10">
        <v>24490390</v>
      </c>
      <c r="K27" s="10">
        <v>107730</v>
      </c>
      <c r="L27" s="12">
        <v>2675690</v>
      </c>
      <c r="M27" s="13">
        <f>+_xlfn.XLOOKUP(D27&amp;"-"&amp;E27,'[1]Listado Lotes'!$K$3:$K$385,'[1]Listado Lotes'!$E$3:$E$385)</f>
        <v>399.15</v>
      </c>
      <c r="N27" s="28" t="s">
        <v>233</v>
      </c>
      <c r="O27" s="14" t="e">
        <v>#N/A</v>
      </c>
      <c r="P27" s="15" t="e">
        <v>#N/A</v>
      </c>
      <c r="Q27" s="16" t="e">
        <v>#N/A</v>
      </c>
      <c r="R27" s="16" t="e">
        <v>#N/A</v>
      </c>
      <c r="S27" s="17" t="e">
        <v>#N/A</v>
      </c>
      <c r="T27" s="17" t="e">
        <v>#N/A</v>
      </c>
      <c r="U27" s="18"/>
      <c r="V27" s="18"/>
      <c r="W27" s="18" t="e">
        <v>#N/A</v>
      </c>
      <c r="X27" s="19"/>
      <c r="Y27" s="19"/>
      <c r="Z27" s="19"/>
      <c r="AA27" s="19"/>
    </row>
    <row r="28" spans="1:27" ht="14.25" customHeight="1" x14ac:dyDescent="0.3">
      <c r="A28" s="11">
        <v>27</v>
      </c>
      <c r="B28" s="10">
        <v>5</v>
      </c>
      <c r="C28" s="11" t="s">
        <v>23</v>
      </c>
      <c r="D28" s="10">
        <v>1</v>
      </c>
      <c r="E28" s="10">
        <v>27</v>
      </c>
      <c r="F28" s="10">
        <v>199494</v>
      </c>
      <c r="G28" s="10">
        <v>46687</v>
      </c>
      <c r="H28" s="10">
        <v>442</v>
      </c>
      <c r="I28" s="10">
        <v>74519</v>
      </c>
      <c r="J28" s="10">
        <v>24490396</v>
      </c>
      <c r="K28" s="10">
        <v>107730</v>
      </c>
      <c r="L28" s="12">
        <v>2675690</v>
      </c>
      <c r="M28" s="13">
        <f>+_xlfn.XLOOKUP(D28&amp;"-"&amp;E28,'[1]Listado Lotes'!$K$3:$K$385,'[1]Listado Lotes'!$E$3:$E$385)</f>
        <v>399.15</v>
      </c>
      <c r="N28" s="28" t="s">
        <v>233</v>
      </c>
      <c r="O28" s="14" t="e">
        <v>#N/A</v>
      </c>
      <c r="P28" s="15" t="e">
        <v>#N/A</v>
      </c>
      <c r="Q28" s="16" t="e">
        <v>#N/A</v>
      </c>
      <c r="R28" s="16" t="e">
        <v>#N/A</v>
      </c>
      <c r="S28" s="17" t="e">
        <v>#N/A</v>
      </c>
      <c r="T28" s="17" t="e">
        <v>#N/A</v>
      </c>
      <c r="U28" s="18"/>
      <c r="V28" s="18"/>
      <c r="W28" s="18" t="e">
        <v>#N/A</v>
      </c>
      <c r="X28" s="19"/>
      <c r="Y28" s="19"/>
      <c r="Z28" s="19"/>
      <c r="AA28" s="19"/>
    </row>
    <row r="29" spans="1:27" ht="14.25" customHeight="1" x14ac:dyDescent="0.3">
      <c r="A29" s="11">
        <v>28</v>
      </c>
      <c r="B29" s="10">
        <v>5</v>
      </c>
      <c r="C29" s="11" t="s">
        <v>23</v>
      </c>
      <c r="D29" s="10">
        <v>1</v>
      </c>
      <c r="E29" s="10">
        <v>28</v>
      </c>
      <c r="F29" s="10">
        <v>199495</v>
      </c>
      <c r="G29" s="10">
        <v>46688</v>
      </c>
      <c r="H29" s="10">
        <v>442</v>
      </c>
      <c r="I29" s="10">
        <v>74520</v>
      </c>
      <c r="J29" s="10">
        <v>24490405</v>
      </c>
      <c r="K29" s="10">
        <v>107730</v>
      </c>
      <c r="L29" s="12">
        <v>2675690</v>
      </c>
      <c r="M29" s="13">
        <f>+_xlfn.XLOOKUP(D29&amp;"-"&amp;E29,'[1]Listado Lotes'!$K$3:$K$385,'[1]Listado Lotes'!$E$3:$E$385)</f>
        <v>399.15</v>
      </c>
      <c r="N29" s="28" t="s">
        <v>233</v>
      </c>
      <c r="O29" s="14" t="e">
        <v>#N/A</v>
      </c>
      <c r="P29" s="15" t="e">
        <v>#N/A</v>
      </c>
      <c r="Q29" s="16" t="e">
        <v>#N/A</v>
      </c>
      <c r="R29" s="16" t="e">
        <v>#N/A</v>
      </c>
      <c r="S29" s="17" t="e">
        <v>#N/A</v>
      </c>
      <c r="T29" s="17" t="e">
        <v>#N/A</v>
      </c>
      <c r="U29" s="18"/>
      <c r="V29" s="18"/>
      <c r="W29" s="18" t="e">
        <v>#N/A</v>
      </c>
      <c r="X29" s="19"/>
      <c r="Y29" s="19"/>
      <c r="Z29" s="19"/>
      <c r="AA29" s="19"/>
    </row>
    <row r="30" spans="1:27" ht="14.25" customHeight="1" x14ac:dyDescent="0.3">
      <c r="A30" s="11">
        <v>29</v>
      </c>
      <c r="B30" s="10">
        <v>5</v>
      </c>
      <c r="C30" s="11" t="s">
        <v>23</v>
      </c>
      <c r="D30" s="10">
        <v>1</v>
      </c>
      <c r="E30" s="10">
        <v>29</v>
      </c>
      <c r="F30" s="10">
        <v>199496</v>
      </c>
      <c r="G30" s="10">
        <v>46689</v>
      </c>
      <c r="H30" s="10">
        <v>442</v>
      </c>
      <c r="I30" s="10">
        <v>74521</v>
      </c>
      <c r="J30" s="10">
        <v>24490409</v>
      </c>
      <c r="K30" s="10">
        <v>107730</v>
      </c>
      <c r="L30" s="12">
        <v>2675690</v>
      </c>
      <c r="M30" s="13">
        <f>+_xlfn.XLOOKUP(D30&amp;"-"&amp;E30,'[1]Listado Lotes'!$K$3:$K$385,'[1]Listado Lotes'!$E$3:$E$385)</f>
        <v>399.15</v>
      </c>
      <c r="N30" s="28" t="s">
        <v>233</v>
      </c>
      <c r="O30" s="14" t="e">
        <v>#N/A</v>
      </c>
      <c r="P30" s="15" t="e">
        <v>#N/A</v>
      </c>
      <c r="Q30" s="16" t="e">
        <v>#N/A</v>
      </c>
      <c r="R30" s="16" t="e">
        <v>#N/A</v>
      </c>
      <c r="S30" s="17" t="e">
        <v>#N/A</v>
      </c>
      <c r="T30" s="17" t="e">
        <v>#N/A</v>
      </c>
      <c r="U30" s="18"/>
      <c r="V30" s="18"/>
      <c r="W30" s="18" t="e">
        <v>#N/A</v>
      </c>
      <c r="X30" s="19"/>
      <c r="Y30" s="19"/>
      <c r="Z30" s="19"/>
      <c r="AA30" s="19"/>
    </row>
    <row r="31" spans="1:27" ht="14.25" customHeight="1" x14ac:dyDescent="0.3">
      <c r="A31" s="11">
        <v>30</v>
      </c>
      <c r="B31" s="10">
        <v>5</v>
      </c>
      <c r="C31" s="11" t="s">
        <v>23</v>
      </c>
      <c r="D31" s="10">
        <v>1</v>
      </c>
      <c r="E31" s="10">
        <v>30</v>
      </c>
      <c r="F31" s="10">
        <v>199497</v>
      </c>
      <c r="G31" s="10">
        <v>46690</v>
      </c>
      <c r="H31" s="10">
        <v>442</v>
      </c>
      <c r="I31" s="10">
        <v>74522</v>
      </c>
      <c r="J31" s="10">
        <v>24490436</v>
      </c>
      <c r="K31" s="10">
        <v>107730</v>
      </c>
      <c r="L31" s="12">
        <v>2675690</v>
      </c>
      <c r="M31" s="13">
        <f>+_xlfn.XLOOKUP(D31&amp;"-"&amp;E31,'[1]Listado Lotes'!$K$3:$K$385,'[1]Listado Lotes'!$E$3:$E$385)</f>
        <v>399.15</v>
      </c>
      <c r="N31" s="28" t="s">
        <v>233</v>
      </c>
      <c r="O31" s="14" t="e">
        <v>#N/A</v>
      </c>
      <c r="P31" s="15" t="e">
        <v>#N/A</v>
      </c>
      <c r="Q31" s="16" t="e">
        <v>#N/A</v>
      </c>
      <c r="R31" s="16" t="e">
        <v>#N/A</v>
      </c>
      <c r="S31" s="17" t="e">
        <v>#N/A</v>
      </c>
      <c r="T31" s="17" t="e">
        <v>#N/A</v>
      </c>
      <c r="U31" s="18"/>
      <c r="V31" s="18"/>
      <c r="W31" s="18" t="e">
        <v>#N/A</v>
      </c>
      <c r="X31" s="19"/>
      <c r="Y31" s="19"/>
      <c r="Z31" s="19"/>
      <c r="AA31" s="19"/>
    </row>
    <row r="32" spans="1:27" ht="14.25" customHeight="1" x14ac:dyDescent="0.3">
      <c r="A32" s="11">
        <v>31</v>
      </c>
      <c r="B32" s="10">
        <v>5</v>
      </c>
      <c r="C32" s="11" t="s">
        <v>23</v>
      </c>
      <c r="D32" s="10">
        <v>1</v>
      </c>
      <c r="E32" s="10">
        <v>31</v>
      </c>
      <c r="F32" s="10">
        <v>199498</v>
      </c>
      <c r="G32" s="10">
        <v>46691</v>
      </c>
      <c r="H32" s="10">
        <v>442</v>
      </c>
      <c r="I32" s="10">
        <v>74523</v>
      </c>
      <c r="J32" s="10">
        <v>24490437</v>
      </c>
      <c r="K32" s="10">
        <v>107730</v>
      </c>
      <c r="L32" s="12">
        <v>2675690</v>
      </c>
      <c r="M32" s="13">
        <f>+_xlfn.XLOOKUP(D32&amp;"-"&amp;E32,'[1]Listado Lotes'!$K$3:$K$385,'[1]Listado Lotes'!$E$3:$E$385)</f>
        <v>399.15</v>
      </c>
      <c r="N32" s="28" t="s">
        <v>233</v>
      </c>
      <c r="O32" s="14" t="e">
        <v>#N/A</v>
      </c>
      <c r="P32" s="15" t="e">
        <v>#N/A</v>
      </c>
      <c r="Q32" s="16" t="e">
        <v>#N/A</v>
      </c>
      <c r="R32" s="16" t="e">
        <v>#N/A</v>
      </c>
      <c r="S32" s="17" t="e">
        <v>#N/A</v>
      </c>
      <c r="T32" s="17" t="e">
        <v>#N/A</v>
      </c>
      <c r="U32" s="18"/>
      <c r="V32" s="18"/>
      <c r="W32" s="18" t="e">
        <v>#N/A</v>
      </c>
      <c r="X32" s="19"/>
      <c r="Y32" s="19"/>
      <c r="Z32" s="19"/>
      <c r="AA32" s="19"/>
    </row>
    <row r="33" spans="1:27" ht="14.25" customHeight="1" x14ac:dyDescent="0.3">
      <c r="A33" s="11">
        <v>32</v>
      </c>
      <c r="B33" s="10">
        <v>5</v>
      </c>
      <c r="C33" s="11" t="s">
        <v>23</v>
      </c>
      <c r="D33" s="10">
        <v>1</v>
      </c>
      <c r="E33" s="10">
        <v>32</v>
      </c>
      <c r="F33" s="10">
        <v>199499</v>
      </c>
      <c r="G33" s="10">
        <v>46692</v>
      </c>
      <c r="H33" s="10">
        <v>442</v>
      </c>
      <c r="I33" s="10">
        <v>74524</v>
      </c>
      <c r="J33" s="10">
        <v>24495438</v>
      </c>
      <c r="K33" s="10">
        <v>81075</v>
      </c>
      <c r="L33" s="12">
        <v>2013674</v>
      </c>
      <c r="M33" s="13">
        <f>+_xlfn.XLOOKUP(D33&amp;"-"&amp;E33,'[1]Listado Lotes'!$K$3:$K$385,'[1]Listado Lotes'!$E$3:$E$385)</f>
        <v>235</v>
      </c>
      <c r="N33" s="28" t="s">
        <v>233</v>
      </c>
      <c r="O33" s="14" t="e">
        <v>#N/A</v>
      </c>
      <c r="P33" s="15" t="e">
        <v>#N/A</v>
      </c>
      <c r="Q33" s="16" t="e">
        <v>#N/A</v>
      </c>
      <c r="R33" s="16" t="e">
        <v>#N/A</v>
      </c>
      <c r="S33" s="17" t="e">
        <v>#N/A</v>
      </c>
      <c r="T33" s="17" t="e">
        <v>#N/A</v>
      </c>
      <c r="U33" s="18"/>
      <c r="V33" s="18"/>
      <c r="W33" s="18" t="e">
        <v>#N/A</v>
      </c>
      <c r="X33" s="19"/>
      <c r="Y33" s="19"/>
      <c r="Z33" s="19"/>
      <c r="AA33" s="19"/>
    </row>
    <row r="34" spans="1:27" ht="14.25" customHeight="1" x14ac:dyDescent="0.3">
      <c r="A34" s="11">
        <v>33</v>
      </c>
      <c r="B34" s="10">
        <v>5</v>
      </c>
      <c r="C34" s="11" t="s">
        <v>23</v>
      </c>
      <c r="D34" s="10">
        <v>2</v>
      </c>
      <c r="E34" s="10">
        <v>1</v>
      </c>
      <c r="F34" s="10">
        <v>199215</v>
      </c>
      <c r="G34" s="10">
        <v>46693</v>
      </c>
      <c r="H34" s="10">
        <v>442</v>
      </c>
      <c r="I34" s="10">
        <v>74527</v>
      </c>
      <c r="J34" s="10">
        <v>24490440</v>
      </c>
      <c r="K34" s="10">
        <v>93432</v>
      </c>
      <c r="L34" s="12">
        <v>2320570</v>
      </c>
      <c r="M34" s="13">
        <f>+_xlfn.XLOOKUP(D34&amp;"-"&amp;E34,'[1]Listado Lotes'!$K$3:$K$385,'[1]Listado Lotes'!$E$3:$E$385)</f>
        <v>229.5</v>
      </c>
      <c r="N34" s="28" t="s">
        <v>233</v>
      </c>
      <c r="O34" s="14" t="e">
        <v>#N/A</v>
      </c>
      <c r="P34" s="15" t="e">
        <v>#N/A</v>
      </c>
      <c r="Q34" s="16" t="e">
        <v>#N/A</v>
      </c>
      <c r="R34" s="16" t="e">
        <v>#N/A</v>
      </c>
      <c r="S34" s="17" t="e">
        <v>#N/A</v>
      </c>
      <c r="T34" s="17" t="e">
        <v>#N/A</v>
      </c>
      <c r="U34" s="18"/>
      <c r="V34" s="18"/>
      <c r="W34" s="18" t="e">
        <v>#N/A</v>
      </c>
      <c r="X34" s="19"/>
      <c r="Y34" s="19"/>
      <c r="Z34" s="19"/>
      <c r="AA34" s="19"/>
    </row>
    <row r="35" spans="1:27" ht="14.25" customHeight="1" x14ac:dyDescent="0.3">
      <c r="A35" s="11">
        <v>34</v>
      </c>
      <c r="B35" s="10">
        <v>5</v>
      </c>
      <c r="C35" s="11" t="s">
        <v>23</v>
      </c>
      <c r="D35" s="10">
        <v>2</v>
      </c>
      <c r="E35" s="10">
        <v>2</v>
      </c>
      <c r="F35" s="10">
        <v>199216</v>
      </c>
      <c r="G35" s="10">
        <v>46694</v>
      </c>
      <c r="H35" s="10">
        <v>442</v>
      </c>
      <c r="I35" s="10">
        <v>74528</v>
      </c>
      <c r="J35" s="10">
        <v>24490462</v>
      </c>
      <c r="K35" s="10">
        <v>75114</v>
      </c>
      <c r="L35" s="12">
        <v>1865606</v>
      </c>
      <c r="M35" s="13">
        <f>+_xlfn.XLOOKUP(D35&amp;"-"&amp;E35,'[1]Listado Lotes'!$K$3:$K$385,'[1]Listado Lotes'!$E$3:$E$385)</f>
        <v>233.98</v>
      </c>
      <c r="N35" s="28" t="s">
        <v>233</v>
      </c>
      <c r="O35" s="14" t="e">
        <v>#N/A</v>
      </c>
      <c r="P35" s="15" t="e">
        <v>#N/A</v>
      </c>
      <c r="Q35" s="16" t="e">
        <v>#N/A</v>
      </c>
      <c r="R35" s="16" t="e">
        <v>#N/A</v>
      </c>
      <c r="S35" s="17" t="e">
        <v>#N/A</v>
      </c>
      <c r="T35" s="17" t="e">
        <v>#N/A</v>
      </c>
      <c r="U35" s="18"/>
      <c r="V35" s="18"/>
      <c r="W35" s="18" t="e">
        <v>#N/A</v>
      </c>
      <c r="X35" s="19"/>
      <c r="Y35" s="19"/>
      <c r="Z35" s="19"/>
      <c r="AA35" s="19"/>
    </row>
    <row r="36" spans="1:27" ht="14.25" customHeight="1" x14ac:dyDescent="0.3">
      <c r="A36" s="11">
        <v>35</v>
      </c>
      <c r="B36" s="10">
        <v>5</v>
      </c>
      <c r="C36" s="11" t="s">
        <v>23</v>
      </c>
      <c r="D36" s="10">
        <v>2</v>
      </c>
      <c r="E36" s="10">
        <v>3</v>
      </c>
      <c r="F36" s="10">
        <v>199217</v>
      </c>
      <c r="G36" s="10">
        <v>46695</v>
      </c>
      <c r="H36" s="10">
        <v>442</v>
      </c>
      <c r="I36" s="10">
        <v>74529</v>
      </c>
      <c r="J36" s="10">
        <v>24490473</v>
      </c>
      <c r="K36" s="10">
        <v>75114</v>
      </c>
      <c r="L36" s="12">
        <v>1865606</v>
      </c>
      <c r="M36" s="13">
        <f>+_xlfn.XLOOKUP(D36&amp;"-"&amp;E36,'[1]Listado Lotes'!$K$3:$K$385,'[1]Listado Lotes'!$E$3:$E$385)</f>
        <v>233.98</v>
      </c>
      <c r="N36" s="28" t="s">
        <v>233</v>
      </c>
      <c r="O36" s="14" t="e">
        <v>#N/A</v>
      </c>
      <c r="P36" s="15" t="e">
        <v>#N/A</v>
      </c>
      <c r="Q36" s="16" t="e">
        <v>#N/A</v>
      </c>
      <c r="R36" s="16" t="e">
        <v>#N/A</v>
      </c>
      <c r="S36" s="17" t="e">
        <v>#N/A</v>
      </c>
      <c r="T36" s="17" t="e">
        <v>#N/A</v>
      </c>
      <c r="U36" s="18"/>
      <c r="V36" s="18"/>
      <c r="W36" s="18" t="e">
        <v>#N/A</v>
      </c>
      <c r="X36" s="19"/>
      <c r="Y36" s="19"/>
      <c r="Z36" s="19"/>
      <c r="AA36" s="19"/>
    </row>
    <row r="37" spans="1:27" ht="14.25" customHeight="1" x14ac:dyDescent="0.3">
      <c r="A37" s="11">
        <v>36</v>
      </c>
      <c r="B37" s="10">
        <v>5</v>
      </c>
      <c r="C37" s="11" t="s">
        <v>23</v>
      </c>
      <c r="D37" s="10">
        <v>2</v>
      </c>
      <c r="E37" s="10">
        <v>4</v>
      </c>
      <c r="F37" s="10">
        <v>199218</v>
      </c>
      <c r="G37" s="10">
        <v>46696</v>
      </c>
      <c r="H37" s="10">
        <v>442</v>
      </c>
      <c r="I37" s="10">
        <v>74530</v>
      </c>
      <c r="J37" s="10">
        <v>24490475</v>
      </c>
      <c r="K37" s="10">
        <v>75114</v>
      </c>
      <c r="L37" s="12">
        <v>1865606</v>
      </c>
      <c r="M37" s="13">
        <f>+_xlfn.XLOOKUP(D37&amp;"-"&amp;E37,'[1]Listado Lotes'!$K$3:$K$385,'[1]Listado Lotes'!$E$3:$E$385)</f>
        <v>233.98</v>
      </c>
      <c r="N37" s="28" t="s">
        <v>233</v>
      </c>
      <c r="O37" s="14" t="e">
        <v>#N/A</v>
      </c>
      <c r="P37" s="15" t="e">
        <v>#N/A</v>
      </c>
      <c r="Q37" s="16" t="e">
        <v>#N/A</v>
      </c>
      <c r="R37" s="16" t="e">
        <v>#N/A</v>
      </c>
      <c r="S37" s="17" t="e">
        <v>#N/A</v>
      </c>
      <c r="T37" s="17" t="e">
        <v>#N/A</v>
      </c>
      <c r="U37" s="18"/>
      <c r="V37" s="18"/>
      <c r="W37" s="18" t="e">
        <v>#N/A</v>
      </c>
      <c r="X37" s="19"/>
      <c r="Y37" s="19"/>
      <c r="Z37" s="19"/>
      <c r="AA37" s="19"/>
    </row>
    <row r="38" spans="1:27" ht="14.25" customHeight="1" x14ac:dyDescent="0.3">
      <c r="A38" s="11">
        <v>37</v>
      </c>
      <c r="B38" s="10">
        <v>5</v>
      </c>
      <c r="C38" s="11" t="s">
        <v>23</v>
      </c>
      <c r="D38" s="10">
        <v>2</v>
      </c>
      <c r="E38" s="10">
        <v>5</v>
      </c>
      <c r="F38" s="10">
        <v>199219</v>
      </c>
      <c r="G38" s="10">
        <v>46697</v>
      </c>
      <c r="H38" s="10">
        <v>442</v>
      </c>
      <c r="I38" s="10">
        <v>74531</v>
      </c>
      <c r="J38" s="10">
        <v>24490523</v>
      </c>
      <c r="K38" s="10">
        <v>75114</v>
      </c>
      <c r="L38" s="12">
        <v>1865606</v>
      </c>
      <c r="M38" s="13">
        <f>+_xlfn.XLOOKUP(D38&amp;"-"&amp;E38,'[1]Listado Lotes'!$K$3:$K$385,'[1]Listado Lotes'!$E$3:$E$385)</f>
        <v>233.98</v>
      </c>
      <c r="N38" s="28" t="s">
        <v>233</v>
      </c>
      <c r="O38" s="14" t="e">
        <v>#N/A</v>
      </c>
      <c r="P38" s="15" t="e">
        <v>#N/A</v>
      </c>
      <c r="Q38" s="16" t="e">
        <v>#N/A</v>
      </c>
      <c r="R38" s="16" t="e">
        <v>#N/A</v>
      </c>
      <c r="S38" s="17" t="e">
        <v>#N/A</v>
      </c>
      <c r="T38" s="17" t="e">
        <v>#N/A</v>
      </c>
      <c r="U38" s="18"/>
      <c r="V38" s="18"/>
      <c r="W38" s="18" t="e">
        <v>#N/A</v>
      </c>
      <c r="X38" s="19"/>
      <c r="Y38" s="19"/>
      <c r="Z38" s="19"/>
      <c r="AA38" s="19"/>
    </row>
    <row r="39" spans="1:27" ht="14.25" customHeight="1" x14ac:dyDescent="0.3">
      <c r="A39" s="11">
        <v>38</v>
      </c>
      <c r="B39" s="10">
        <v>5</v>
      </c>
      <c r="C39" s="11" t="s">
        <v>23</v>
      </c>
      <c r="D39" s="10">
        <v>2</v>
      </c>
      <c r="E39" s="10">
        <v>6</v>
      </c>
      <c r="F39" s="10">
        <v>199220</v>
      </c>
      <c r="G39" s="10">
        <v>44933</v>
      </c>
      <c r="H39" s="10">
        <v>442</v>
      </c>
      <c r="I39" s="10">
        <v>74532</v>
      </c>
      <c r="J39" s="10">
        <v>24490527</v>
      </c>
      <c r="K39" s="10">
        <v>93432</v>
      </c>
      <c r="L39" s="12">
        <v>2320570</v>
      </c>
      <c r="M39" s="13">
        <f>+_xlfn.XLOOKUP(D39&amp;"-"&amp;E39,'[1]Listado Lotes'!$K$3:$K$385,'[1]Listado Lotes'!$E$3:$E$385)</f>
        <v>229.5</v>
      </c>
      <c r="N39" s="28" t="s">
        <v>233</v>
      </c>
      <c r="O39" s="14" t="e">
        <v>#N/A</v>
      </c>
      <c r="P39" s="15" t="e">
        <v>#N/A</v>
      </c>
      <c r="Q39" s="16" t="e">
        <v>#N/A</v>
      </c>
      <c r="R39" s="16" t="e">
        <v>#N/A</v>
      </c>
      <c r="S39" s="17" t="e">
        <v>#N/A</v>
      </c>
      <c r="T39" s="17" t="e">
        <v>#N/A</v>
      </c>
      <c r="U39" s="18"/>
      <c r="V39" s="18"/>
      <c r="W39" s="18" t="e">
        <v>#N/A</v>
      </c>
      <c r="X39" s="19"/>
      <c r="Y39" s="19"/>
      <c r="Z39" s="19"/>
      <c r="AA39" s="19"/>
    </row>
    <row r="40" spans="1:27" ht="14.25" customHeight="1" x14ac:dyDescent="0.3">
      <c r="A40" s="11">
        <v>39</v>
      </c>
      <c r="B40" s="10">
        <v>5</v>
      </c>
      <c r="C40" s="11" t="s">
        <v>23</v>
      </c>
      <c r="D40" s="10">
        <v>2</v>
      </c>
      <c r="E40" s="10">
        <v>7</v>
      </c>
      <c r="F40" s="10">
        <v>199221</v>
      </c>
      <c r="G40" s="10">
        <v>46698</v>
      </c>
      <c r="H40" s="10">
        <v>442</v>
      </c>
      <c r="I40" s="10">
        <v>74533</v>
      </c>
      <c r="J40" s="10">
        <v>24490530</v>
      </c>
      <c r="K40" s="10">
        <v>89700</v>
      </c>
      <c r="L40" s="12">
        <v>2227878</v>
      </c>
      <c r="M40" s="13">
        <f>+_xlfn.XLOOKUP(D40&amp;"-"&amp;E40,'[1]Listado Lotes'!$K$3:$K$385,'[1]Listado Lotes'!$E$3:$E$385)</f>
        <v>298.69</v>
      </c>
      <c r="N40" s="28" t="s">
        <v>233</v>
      </c>
      <c r="O40" s="14" t="e">
        <v>#N/A</v>
      </c>
      <c r="P40" s="15" t="e">
        <v>#N/A</v>
      </c>
      <c r="Q40" s="16" t="e">
        <v>#N/A</v>
      </c>
      <c r="R40" s="16" t="e">
        <v>#N/A</v>
      </c>
      <c r="S40" s="17" t="e">
        <v>#N/A</v>
      </c>
      <c r="T40" s="17" t="e">
        <v>#N/A</v>
      </c>
      <c r="U40" s="18"/>
      <c r="V40" s="18"/>
      <c r="W40" s="18" t="e">
        <v>#N/A</v>
      </c>
      <c r="X40" s="19"/>
      <c r="Y40" s="19"/>
      <c r="Z40" s="19"/>
      <c r="AA40" s="19"/>
    </row>
    <row r="41" spans="1:27" ht="14.25" customHeight="1" x14ac:dyDescent="0.3">
      <c r="A41" s="11">
        <v>40</v>
      </c>
      <c r="B41" s="10">
        <v>5</v>
      </c>
      <c r="C41" s="11" t="s">
        <v>23</v>
      </c>
      <c r="D41" s="10">
        <v>2</v>
      </c>
      <c r="E41" s="10">
        <v>8</v>
      </c>
      <c r="F41" s="10">
        <v>199222</v>
      </c>
      <c r="G41" s="10">
        <v>46699</v>
      </c>
      <c r="H41" s="10">
        <v>442</v>
      </c>
      <c r="I41" s="10">
        <v>74534</v>
      </c>
      <c r="J41" s="10">
        <v>24490533</v>
      </c>
      <c r="K41" s="10">
        <v>89700</v>
      </c>
      <c r="L41" s="12">
        <v>2227878</v>
      </c>
      <c r="M41" s="13">
        <f>+_xlfn.XLOOKUP(D41&amp;"-"&amp;E41,'[1]Listado Lotes'!$K$3:$K$385,'[1]Listado Lotes'!$E$3:$E$385)</f>
        <v>298.69</v>
      </c>
      <c r="N41" s="28" t="s">
        <v>233</v>
      </c>
      <c r="O41" s="14" t="e">
        <v>#N/A</v>
      </c>
      <c r="P41" s="15" t="e">
        <v>#N/A</v>
      </c>
      <c r="Q41" s="16" t="e">
        <v>#N/A</v>
      </c>
      <c r="R41" s="16" t="e">
        <v>#N/A</v>
      </c>
      <c r="S41" s="17" t="e">
        <v>#N/A</v>
      </c>
      <c r="T41" s="17" t="e">
        <v>#N/A</v>
      </c>
      <c r="U41" s="18"/>
      <c r="V41" s="18"/>
      <c r="W41" s="18" t="e">
        <v>#N/A</v>
      </c>
      <c r="X41" s="19"/>
      <c r="Y41" s="19"/>
      <c r="Z41" s="19"/>
      <c r="AA41" s="19"/>
    </row>
    <row r="42" spans="1:27" ht="14.25" customHeight="1" x14ac:dyDescent="0.3">
      <c r="A42" s="11">
        <v>41</v>
      </c>
      <c r="B42" s="10">
        <v>5</v>
      </c>
      <c r="C42" s="11" t="s">
        <v>23</v>
      </c>
      <c r="D42" s="10">
        <v>2</v>
      </c>
      <c r="E42" s="10">
        <v>9</v>
      </c>
      <c r="F42" s="10">
        <v>199223</v>
      </c>
      <c r="G42" s="10">
        <v>46700</v>
      </c>
      <c r="H42" s="10">
        <v>442</v>
      </c>
      <c r="I42" s="10">
        <v>74535</v>
      </c>
      <c r="J42" s="10">
        <v>24490536</v>
      </c>
      <c r="K42" s="10">
        <v>89700</v>
      </c>
      <c r="L42" s="12">
        <v>2227878</v>
      </c>
      <c r="M42" s="13">
        <f>+_xlfn.XLOOKUP(D42&amp;"-"&amp;E42,'[1]Listado Lotes'!$K$3:$K$385,'[1]Listado Lotes'!$E$3:$E$385)</f>
        <v>298.69</v>
      </c>
      <c r="N42" s="28" t="s">
        <v>233</v>
      </c>
      <c r="O42" s="14" t="e">
        <v>#N/A</v>
      </c>
      <c r="P42" s="15" t="e">
        <v>#N/A</v>
      </c>
      <c r="Q42" s="16" t="e">
        <v>#N/A</v>
      </c>
      <c r="R42" s="16" t="e">
        <v>#N/A</v>
      </c>
      <c r="S42" s="17" t="e">
        <v>#N/A</v>
      </c>
      <c r="T42" s="17" t="e">
        <v>#N/A</v>
      </c>
      <c r="U42" s="18"/>
      <c r="V42" s="18"/>
      <c r="W42" s="18" t="e">
        <v>#N/A</v>
      </c>
      <c r="X42" s="19"/>
      <c r="Y42" s="19"/>
      <c r="Z42" s="19"/>
      <c r="AA42" s="19"/>
    </row>
    <row r="43" spans="1:27" ht="14.25" customHeight="1" x14ac:dyDescent="0.3">
      <c r="A43" s="11">
        <v>42</v>
      </c>
      <c r="B43" s="10">
        <v>5</v>
      </c>
      <c r="C43" s="11" t="s">
        <v>23</v>
      </c>
      <c r="D43" s="10">
        <v>2</v>
      </c>
      <c r="E43" s="10">
        <v>10</v>
      </c>
      <c r="F43" s="10">
        <v>199224</v>
      </c>
      <c r="G43" s="10">
        <v>46701</v>
      </c>
      <c r="H43" s="10">
        <v>442</v>
      </c>
      <c r="I43" s="10">
        <v>74536</v>
      </c>
      <c r="J43" s="10">
        <v>24491928</v>
      </c>
      <c r="K43" s="10">
        <v>89700</v>
      </c>
      <c r="L43" s="12">
        <v>2227878</v>
      </c>
      <c r="M43" s="13">
        <f>+_xlfn.XLOOKUP(D43&amp;"-"&amp;E43,'[1]Listado Lotes'!$K$3:$K$385,'[1]Listado Lotes'!$E$3:$E$385)</f>
        <v>298.69</v>
      </c>
      <c r="N43" s="28" t="s">
        <v>233</v>
      </c>
      <c r="O43" s="14" t="e">
        <v>#N/A</v>
      </c>
      <c r="P43" s="15" t="e">
        <v>#N/A</v>
      </c>
      <c r="Q43" s="16" t="e">
        <v>#N/A</v>
      </c>
      <c r="R43" s="16" t="e">
        <v>#N/A</v>
      </c>
      <c r="S43" s="17" t="e">
        <v>#N/A</v>
      </c>
      <c r="T43" s="17" t="e">
        <v>#N/A</v>
      </c>
      <c r="U43" s="18"/>
      <c r="V43" s="18"/>
      <c r="W43" s="18" t="e">
        <v>#N/A</v>
      </c>
      <c r="X43" s="19"/>
      <c r="Y43" s="19"/>
      <c r="Z43" s="19"/>
      <c r="AA43" s="19"/>
    </row>
    <row r="44" spans="1:27" ht="14.25" customHeight="1" x14ac:dyDescent="0.3">
      <c r="A44" s="11">
        <v>43</v>
      </c>
      <c r="B44" s="10">
        <v>5</v>
      </c>
      <c r="C44" s="11" t="s">
        <v>23</v>
      </c>
      <c r="D44" s="10">
        <v>2</v>
      </c>
      <c r="E44" s="10">
        <v>11</v>
      </c>
      <c r="F44" s="10">
        <v>199225</v>
      </c>
      <c r="G44" s="10">
        <v>46702</v>
      </c>
      <c r="H44" s="10">
        <v>442</v>
      </c>
      <c r="I44" s="10">
        <v>74537</v>
      </c>
      <c r="J44" s="10">
        <v>244901929</v>
      </c>
      <c r="K44" s="10">
        <v>89700</v>
      </c>
      <c r="L44" s="12">
        <v>2227878</v>
      </c>
      <c r="M44" s="13">
        <f>+_xlfn.XLOOKUP(D44&amp;"-"&amp;E44,'[1]Listado Lotes'!$K$3:$K$385,'[1]Listado Lotes'!$E$3:$E$385)</f>
        <v>298.69</v>
      </c>
      <c r="N44" s="28" t="s">
        <v>233</v>
      </c>
      <c r="O44" s="14" t="e">
        <v>#N/A</v>
      </c>
      <c r="P44" s="15" t="e">
        <v>#N/A</v>
      </c>
      <c r="Q44" s="16" t="e">
        <v>#N/A</v>
      </c>
      <c r="R44" s="16" t="e">
        <v>#N/A</v>
      </c>
      <c r="S44" s="17" t="e">
        <v>#N/A</v>
      </c>
      <c r="T44" s="17" t="e">
        <v>#N/A</v>
      </c>
      <c r="U44" s="18"/>
      <c r="V44" s="18"/>
      <c r="W44" s="18" t="e">
        <v>#N/A</v>
      </c>
      <c r="X44" s="19"/>
      <c r="Y44" s="19"/>
      <c r="Z44" s="19"/>
      <c r="AA44" s="19"/>
    </row>
    <row r="45" spans="1:27" ht="14.25" customHeight="1" x14ac:dyDescent="0.3">
      <c r="A45" s="11">
        <v>44</v>
      </c>
      <c r="B45" s="10">
        <v>5</v>
      </c>
      <c r="C45" s="11" t="s">
        <v>23</v>
      </c>
      <c r="D45" s="10">
        <v>2</v>
      </c>
      <c r="E45" s="10">
        <v>12</v>
      </c>
      <c r="F45" s="10">
        <v>199226</v>
      </c>
      <c r="G45" s="10">
        <v>46703</v>
      </c>
      <c r="H45" s="10">
        <v>442</v>
      </c>
      <c r="I45" s="10">
        <v>74538</v>
      </c>
      <c r="J45" s="10">
        <v>244901930</v>
      </c>
      <c r="K45" s="10">
        <v>89700</v>
      </c>
      <c r="L45" s="12">
        <v>2227878</v>
      </c>
      <c r="M45" s="13">
        <f>+_xlfn.XLOOKUP(D45&amp;"-"&amp;E45,'[1]Listado Lotes'!$K$3:$K$385,'[1]Listado Lotes'!$E$3:$E$385)</f>
        <v>298.69</v>
      </c>
      <c r="N45" s="28" t="s">
        <v>233</v>
      </c>
      <c r="O45" s="14" t="e">
        <v>#N/A</v>
      </c>
      <c r="P45" s="15" t="e">
        <v>#N/A</v>
      </c>
      <c r="Q45" s="16" t="e">
        <v>#N/A</v>
      </c>
      <c r="R45" s="16" t="e">
        <v>#N/A</v>
      </c>
      <c r="S45" s="17" t="e">
        <v>#N/A</v>
      </c>
      <c r="T45" s="17" t="e">
        <v>#N/A</v>
      </c>
      <c r="U45" s="18"/>
      <c r="V45" s="18"/>
      <c r="W45" s="18" t="e">
        <v>#N/A</v>
      </c>
      <c r="X45" s="19"/>
      <c r="Y45" s="19"/>
      <c r="Z45" s="19"/>
      <c r="AA45" s="19"/>
    </row>
    <row r="46" spans="1:27" ht="14.25" customHeight="1" x14ac:dyDescent="0.3">
      <c r="A46" s="11">
        <v>45</v>
      </c>
      <c r="B46" s="10">
        <v>5</v>
      </c>
      <c r="C46" s="11" t="s">
        <v>23</v>
      </c>
      <c r="D46" s="10">
        <v>2</v>
      </c>
      <c r="E46" s="10">
        <v>13</v>
      </c>
      <c r="F46" s="10">
        <v>199227</v>
      </c>
      <c r="G46" s="10">
        <v>46704</v>
      </c>
      <c r="H46" s="10">
        <v>442</v>
      </c>
      <c r="I46" s="10">
        <v>74539</v>
      </c>
      <c r="J46" s="10">
        <v>244901931</v>
      </c>
      <c r="K46" s="10">
        <v>89700</v>
      </c>
      <c r="L46" s="12">
        <v>2227878</v>
      </c>
      <c r="M46" s="13">
        <f>+_xlfn.XLOOKUP(D46&amp;"-"&amp;E46,'[1]Listado Lotes'!$K$3:$K$385,'[1]Listado Lotes'!$E$3:$E$385)</f>
        <v>298.69</v>
      </c>
      <c r="N46" s="28" t="s">
        <v>233</v>
      </c>
      <c r="O46" s="14" t="e">
        <v>#N/A</v>
      </c>
      <c r="P46" s="15" t="e">
        <v>#N/A</v>
      </c>
      <c r="Q46" s="16" t="e">
        <v>#N/A</v>
      </c>
      <c r="R46" s="16" t="e">
        <v>#N/A</v>
      </c>
      <c r="S46" s="17" t="e">
        <v>#N/A</v>
      </c>
      <c r="T46" s="17" t="e">
        <v>#N/A</v>
      </c>
      <c r="U46" s="18"/>
      <c r="V46" s="18"/>
      <c r="W46" s="18" t="e">
        <v>#N/A</v>
      </c>
      <c r="X46" s="19"/>
      <c r="Y46" s="19"/>
      <c r="Z46" s="19"/>
      <c r="AA46" s="19"/>
    </row>
    <row r="47" spans="1:27" ht="14.25" customHeight="1" x14ac:dyDescent="0.3">
      <c r="A47" s="11">
        <v>46</v>
      </c>
      <c r="B47" s="10">
        <v>5</v>
      </c>
      <c r="C47" s="11" t="s">
        <v>23</v>
      </c>
      <c r="D47" s="10">
        <v>2</v>
      </c>
      <c r="E47" s="10">
        <v>14</v>
      </c>
      <c r="F47" s="10">
        <v>199228</v>
      </c>
      <c r="G47" s="10">
        <v>46705</v>
      </c>
      <c r="H47" s="10">
        <v>442</v>
      </c>
      <c r="I47" s="10">
        <v>74540</v>
      </c>
      <c r="J47" s="10">
        <v>24505602</v>
      </c>
      <c r="K47" s="10">
        <v>89700</v>
      </c>
      <c r="L47" s="12">
        <v>2227878</v>
      </c>
      <c r="M47" s="13">
        <f>+_xlfn.XLOOKUP(D47&amp;"-"&amp;E47,'[1]Listado Lotes'!$K$3:$K$385,'[1]Listado Lotes'!$E$3:$E$385)</f>
        <v>298.69</v>
      </c>
      <c r="N47" s="28" t="s">
        <v>233</v>
      </c>
      <c r="O47" s="14" t="e">
        <v>#N/A</v>
      </c>
      <c r="P47" s="15" t="e">
        <v>#N/A</v>
      </c>
      <c r="Q47" s="16" t="e">
        <v>#N/A</v>
      </c>
      <c r="R47" s="16" t="e">
        <v>#N/A</v>
      </c>
      <c r="S47" s="17" t="e">
        <v>#N/A</v>
      </c>
      <c r="T47" s="17" t="e">
        <v>#N/A</v>
      </c>
      <c r="U47" s="18"/>
      <c r="V47" s="18"/>
      <c r="W47" s="18" t="e">
        <v>#N/A</v>
      </c>
      <c r="X47" s="19"/>
      <c r="Y47" s="19"/>
      <c r="Z47" s="19"/>
      <c r="AA47" s="19"/>
    </row>
    <row r="48" spans="1:27" ht="14.25" customHeight="1" x14ac:dyDescent="0.3">
      <c r="A48" s="11">
        <v>47</v>
      </c>
      <c r="B48" s="10">
        <v>5</v>
      </c>
      <c r="C48" s="11" t="s">
        <v>23</v>
      </c>
      <c r="D48" s="10">
        <v>2</v>
      </c>
      <c r="E48" s="10">
        <v>15</v>
      </c>
      <c r="F48" s="10">
        <v>199229</v>
      </c>
      <c r="G48" s="10">
        <v>46706</v>
      </c>
      <c r="H48" s="10">
        <v>442</v>
      </c>
      <c r="I48" s="10">
        <v>74541</v>
      </c>
      <c r="J48" s="10">
        <v>24505603</v>
      </c>
      <c r="K48" s="10">
        <v>93432</v>
      </c>
      <c r="L48" s="12">
        <v>2320570</v>
      </c>
      <c r="M48" s="13">
        <f>+_xlfn.XLOOKUP(D48&amp;"-"&amp;E48,'[1]Listado Lotes'!$K$3:$K$385,'[1]Listado Lotes'!$E$3:$E$385)</f>
        <v>229.5</v>
      </c>
      <c r="N48" s="28" t="s">
        <v>233</v>
      </c>
      <c r="O48" s="14" t="e">
        <v>#N/A</v>
      </c>
      <c r="P48" s="15" t="e">
        <v>#N/A</v>
      </c>
      <c r="Q48" s="16" t="e">
        <v>#N/A</v>
      </c>
      <c r="R48" s="16" t="e">
        <v>#N/A</v>
      </c>
      <c r="S48" s="17" t="e">
        <v>#N/A</v>
      </c>
      <c r="T48" s="17" t="e">
        <v>#N/A</v>
      </c>
      <c r="U48" s="18"/>
      <c r="V48" s="18"/>
      <c r="W48" s="18" t="e">
        <v>#N/A</v>
      </c>
      <c r="X48" s="19"/>
      <c r="Y48" s="19"/>
      <c r="Z48" s="19"/>
      <c r="AA48" s="19"/>
    </row>
    <row r="49" spans="1:27" ht="14.25" customHeight="1" x14ac:dyDescent="0.3">
      <c r="A49" s="11">
        <v>48</v>
      </c>
      <c r="B49" s="10">
        <v>5</v>
      </c>
      <c r="C49" s="11" t="s">
        <v>23</v>
      </c>
      <c r="D49" s="10">
        <v>2</v>
      </c>
      <c r="E49" s="10">
        <v>16</v>
      </c>
      <c r="F49" s="10">
        <v>199230</v>
      </c>
      <c r="G49" s="10">
        <v>46707</v>
      </c>
      <c r="H49" s="10">
        <v>442</v>
      </c>
      <c r="I49" s="10">
        <v>74542</v>
      </c>
      <c r="J49" s="10">
        <v>24491935</v>
      </c>
      <c r="K49" s="10">
        <v>75114</v>
      </c>
      <c r="L49" s="12">
        <v>1865606</v>
      </c>
      <c r="M49" s="13">
        <f>+_xlfn.XLOOKUP(D49&amp;"-"&amp;E49,'[1]Listado Lotes'!$K$3:$K$385,'[1]Listado Lotes'!$E$3:$E$385)</f>
        <v>233.98</v>
      </c>
      <c r="N49" s="28" t="s">
        <v>233</v>
      </c>
      <c r="O49" s="14" t="e">
        <v>#N/A</v>
      </c>
      <c r="P49" s="15" t="e">
        <v>#N/A</v>
      </c>
      <c r="Q49" s="16" t="e">
        <v>#N/A</v>
      </c>
      <c r="R49" s="16" t="e">
        <v>#N/A</v>
      </c>
      <c r="S49" s="17" t="e">
        <v>#N/A</v>
      </c>
      <c r="T49" s="17" t="e">
        <v>#N/A</v>
      </c>
      <c r="U49" s="18"/>
      <c r="V49" s="18"/>
      <c r="W49" s="18" t="e">
        <v>#N/A</v>
      </c>
      <c r="X49" s="19"/>
      <c r="Y49" s="19"/>
      <c r="Z49" s="19"/>
      <c r="AA49" s="19"/>
    </row>
    <row r="50" spans="1:27" ht="14.25" customHeight="1" x14ac:dyDescent="0.3">
      <c r="A50" s="11">
        <v>49</v>
      </c>
      <c r="B50" s="10">
        <v>5</v>
      </c>
      <c r="C50" s="11" t="s">
        <v>23</v>
      </c>
      <c r="D50" s="10">
        <v>2</v>
      </c>
      <c r="E50" s="10">
        <v>17</v>
      </c>
      <c r="F50" s="10">
        <v>199231</v>
      </c>
      <c r="G50" s="10">
        <v>76707</v>
      </c>
      <c r="H50" s="10">
        <v>442</v>
      </c>
      <c r="I50" s="10">
        <v>74543</v>
      </c>
      <c r="J50" s="10">
        <v>24505622</v>
      </c>
      <c r="K50" s="10">
        <v>75114</v>
      </c>
      <c r="L50" s="12">
        <v>1865606</v>
      </c>
      <c r="M50" s="13">
        <f>+_xlfn.XLOOKUP(D50&amp;"-"&amp;E50,'[1]Listado Lotes'!$K$3:$K$385,'[1]Listado Lotes'!$E$3:$E$385)</f>
        <v>233.98</v>
      </c>
      <c r="N50" s="28" t="s">
        <v>233</v>
      </c>
      <c r="O50" s="14" t="e">
        <v>#N/A</v>
      </c>
      <c r="P50" s="15" t="e">
        <v>#N/A</v>
      </c>
      <c r="Q50" s="16" t="e">
        <v>#N/A</v>
      </c>
      <c r="R50" s="16" t="e">
        <v>#N/A</v>
      </c>
      <c r="S50" s="17" t="e">
        <v>#N/A</v>
      </c>
      <c r="T50" s="17" t="e">
        <v>#N/A</v>
      </c>
      <c r="U50" s="18"/>
      <c r="V50" s="18"/>
      <c r="W50" s="18" t="e">
        <v>#N/A</v>
      </c>
      <c r="X50" s="19"/>
      <c r="Y50" s="19"/>
      <c r="Z50" s="19"/>
      <c r="AA50" s="19"/>
    </row>
    <row r="51" spans="1:27" ht="14.25" customHeight="1" x14ac:dyDescent="0.3">
      <c r="A51" s="11">
        <v>50</v>
      </c>
      <c r="B51" s="10">
        <v>5</v>
      </c>
      <c r="C51" s="11" t="s">
        <v>23</v>
      </c>
      <c r="D51" s="10">
        <v>2</v>
      </c>
      <c r="E51" s="10">
        <v>18</v>
      </c>
      <c r="F51" s="10">
        <v>199232</v>
      </c>
      <c r="G51" s="10">
        <v>46709</v>
      </c>
      <c r="H51" s="10">
        <v>442</v>
      </c>
      <c r="I51" s="10">
        <v>74544</v>
      </c>
      <c r="J51" s="10">
        <v>24491937</v>
      </c>
      <c r="K51" s="10">
        <v>75114</v>
      </c>
      <c r="L51" s="12">
        <v>1865606</v>
      </c>
      <c r="M51" s="13">
        <f>+_xlfn.XLOOKUP(D51&amp;"-"&amp;E51,'[1]Listado Lotes'!$K$3:$K$385,'[1]Listado Lotes'!$E$3:$E$385)</f>
        <v>233.98</v>
      </c>
      <c r="N51" s="28" t="s">
        <v>233</v>
      </c>
      <c r="O51" s="14" t="e">
        <v>#N/A</v>
      </c>
      <c r="P51" s="15" t="e">
        <v>#N/A</v>
      </c>
      <c r="Q51" s="16" t="e">
        <v>#N/A</v>
      </c>
      <c r="R51" s="16" t="e">
        <v>#N/A</v>
      </c>
      <c r="S51" s="17" t="e">
        <v>#N/A</v>
      </c>
      <c r="T51" s="17" t="e">
        <v>#N/A</v>
      </c>
      <c r="U51" s="18"/>
      <c r="V51" s="18"/>
      <c r="W51" s="18" t="e">
        <v>#N/A</v>
      </c>
      <c r="X51" s="19"/>
      <c r="Y51" s="19"/>
      <c r="Z51" s="19"/>
      <c r="AA51" s="19"/>
    </row>
    <row r="52" spans="1:27" ht="14.25" customHeight="1" x14ac:dyDescent="0.3">
      <c r="A52" s="11">
        <v>51</v>
      </c>
      <c r="B52" s="10">
        <v>5</v>
      </c>
      <c r="C52" s="11" t="s">
        <v>23</v>
      </c>
      <c r="D52" s="10">
        <v>2</v>
      </c>
      <c r="E52" s="10">
        <v>19</v>
      </c>
      <c r="F52" s="10">
        <v>199233</v>
      </c>
      <c r="G52" s="10">
        <v>46710</v>
      </c>
      <c r="H52" s="10">
        <v>442</v>
      </c>
      <c r="I52" s="10">
        <v>74545</v>
      </c>
      <c r="J52" s="10">
        <v>24505624</v>
      </c>
      <c r="K52" s="10">
        <v>75114</v>
      </c>
      <c r="L52" s="12">
        <v>1865606</v>
      </c>
      <c r="M52" s="13">
        <f>+_xlfn.XLOOKUP(D52&amp;"-"&amp;E52,'[1]Listado Lotes'!$K$3:$K$385,'[1]Listado Lotes'!$E$3:$E$385)</f>
        <v>233.98</v>
      </c>
      <c r="N52" s="28" t="s">
        <v>233</v>
      </c>
      <c r="O52" s="14" t="e">
        <v>#N/A</v>
      </c>
      <c r="P52" s="15" t="e">
        <v>#N/A</v>
      </c>
      <c r="Q52" s="16" t="e">
        <v>#N/A</v>
      </c>
      <c r="R52" s="16" t="e">
        <v>#N/A</v>
      </c>
      <c r="S52" s="17" t="e">
        <v>#N/A</v>
      </c>
      <c r="T52" s="17" t="e">
        <v>#N/A</v>
      </c>
      <c r="U52" s="18"/>
      <c r="V52" s="18"/>
      <c r="W52" s="18" t="e">
        <v>#N/A</v>
      </c>
      <c r="X52" s="19"/>
      <c r="Y52" s="19"/>
      <c r="Z52" s="19"/>
      <c r="AA52" s="19"/>
    </row>
    <row r="53" spans="1:27" ht="14.25" customHeight="1" x14ac:dyDescent="0.3">
      <c r="A53" s="11">
        <v>52</v>
      </c>
      <c r="B53" s="10">
        <v>5</v>
      </c>
      <c r="C53" s="11" t="s">
        <v>23</v>
      </c>
      <c r="D53" s="10">
        <v>2</v>
      </c>
      <c r="E53" s="10">
        <v>20</v>
      </c>
      <c r="F53" s="10">
        <v>199234</v>
      </c>
      <c r="G53" s="10">
        <v>46711</v>
      </c>
      <c r="H53" s="10">
        <v>442</v>
      </c>
      <c r="I53" s="10">
        <v>74546</v>
      </c>
      <c r="J53" s="10">
        <v>24491939</v>
      </c>
      <c r="K53" s="10">
        <v>93432</v>
      </c>
      <c r="L53" s="12">
        <v>2320570</v>
      </c>
      <c r="M53" s="13">
        <f>+_xlfn.XLOOKUP(D53&amp;"-"&amp;E53,'[1]Listado Lotes'!$K$3:$K$385,'[1]Listado Lotes'!$E$3:$E$385)</f>
        <v>229.5</v>
      </c>
      <c r="N53" s="28" t="s">
        <v>233</v>
      </c>
      <c r="O53" s="14" t="e">
        <v>#N/A</v>
      </c>
      <c r="P53" s="15" t="e">
        <v>#N/A</v>
      </c>
      <c r="Q53" s="16" t="e">
        <v>#N/A</v>
      </c>
      <c r="R53" s="16" t="e">
        <v>#N/A</v>
      </c>
      <c r="S53" s="17" t="e">
        <v>#N/A</v>
      </c>
      <c r="T53" s="17" t="e">
        <v>#N/A</v>
      </c>
      <c r="U53" s="18"/>
      <c r="V53" s="18"/>
      <c r="W53" s="18" t="e">
        <v>#N/A</v>
      </c>
      <c r="X53" s="19"/>
      <c r="Y53" s="19"/>
      <c r="Z53" s="19"/>
      <c r="AA53" s="19"/>
    </row>
    <row r="54" spans="1:27" ht="14.25" customHeight="1" x14ac:dyDescent="0.3">
      <c r="A54" s="11">
        <v>53</v>
      </c>
      <c r="B54" s="10">
        <v>5</v>
      </c>
      <c r="C54" s="11" t="s">
        <v>23</v>
      </c>
      <c r="D54" s="10">
        <v>2</v>
      </c>
      <c r="E54" s="10">
        <v>21</v>
      </c>
      <c r="F54" s="10">
        <v>199235</v>
      </c>
      <c r="G54" s="10">
        <v>46712</v>
      </c>
      <c r="H54" s="10">
        <v>442</v>
      </c>
      <c r="I54" s="10">
        <v>74547</v>
      </c>
      <c r="J54" s="10">
        <v>24491940</v>
      </c>
      <c r="K54" s="10">
        <v>89700</v>
      </c>
      <c r="L54" s="12">
        <v>2227878</v>
      </c>
      <c r="M54" s="13">
        <f>+_xlfn.XLOOKUP(D54&amp;"-"&amp;E54,'[1]Listado Lotes'!$K$3:$K$385,'[1]Listado Lotes'!$E$3:$E$385)</f>
        <v>298.69</v>
      </c>
      <c r="N54" s="28" t="s">
        <v>233</v>
      </c>
      <c r="O54" s="14" t="e">
        <v>#N/A</v>
      </c>
      <c r="P54" s="15" t="e">
        <v>#N/A</v>
      </c>
      <c r="Q54" s="16" t="e">
        <v>#N/A</v>
      </c>
      <c r="R54" s="16" t="e">
        <v>#N/A</v>
      </c>
      <c r="S54" s="17" t="e">
        <v>#N/A</v>
      </c>
      <c r="T54" s="17" t="e">
        <v>#N/A</v>
      </c>
      <c r="U54" s="18"/>
      <c r="V54" s="18"/>
      <c r="W54" s="18" t="e">
        <v>#N/A</v>
      </c>
      <c r="X54" s="19"/>
      <c r="Y54" s="19"/>
      <c r="Z54" s="19"/>
      <c r="AA54" s="19"/>
    </row>
    <row r="55" spans="1:27" ht="14.25" customHeight="1" x14ac:dyDescent="0.3">
      <c r="A55" s="11">
        <v>54</v>
      </c>
      <c r="B55" s="10">
        <v>5</v>
      </c>
      <c r="C55" s="11" t="s">
        <v>23</v>
      </c>
      <c r="D55" s="10">
        <v>2</v>
      </c>
      <c r="E55" s="10">
        <v>22</v>
      </c>
      <c r="F55" s="10">
        <v>199236</v>
      </c>
      <c r="G55" s="10">
        <v>46713</v>
      </c>
      <c r="H55" s="10">
        <v>442</v>
      </c>
      <c r="I55" s="10">
        <v>74548</v>
      </c>
      <c r="J55" s="10">
        <v>24491941</v>
      </c>
      <c r="K55" s="10">
        <v>161460</v>
      </c>
      <c r="L55" s="12">
        <v>4010182</v>
      </c>
      <c r="M55" s="13">
        <f>+_xlfn.XLOOKUP(D55&amp;"-"&amp;E55,'[1]Listado Lotes'!$K$3:$K$385,'[1]Listado Lotes'!$E$3:$E$385)</f>
        <v>298.69</v>
      </c>
      <c r="N55" s="28" t="s">
        <v>233</v>
      </c>
      <c r="O55" s="14" t="e">
        <v>#N/A</v>
      </c>
      <c r="P55" s="15" t="e">
        <v>#N/A</v>
      </c>
      <c r="Q55" s="16" t="e">
        <v>#N/A</v>
      </c>
      <c r="R55" s="16" t="e">
        <v>#N/A</v>
      </c>
      <c r="S55" s="17" t="e">
        <v>#N/A</v>
      </c>
      <c r="T55" s="17" t="e">
        <v>#N/A</v>
      </c>
      <c r="U55" s="18"/>
      <c r="V55" s="18"/>
      <c r="W55" s="18" t="e">
        <v>#N/A</v>
      </c>
      <c r="X55" s="19"/>
      <c r="Y55" s="19"/>
      <c r="Z55" s="19"/>
      <c r="AA55" s="19"/>
    </row>
    <row r="56" spans="1:27" ht="14.25" customHeight="1" x14ac:dyDescent="0.3">
      <c r="A56" s="11">
        <v>55</v>
      </c>
      <c r="B56" s="10">
        <v>5</v>
      </c>
      <c r="C56" s="11" t="s">
        <v>23</v>
      </c>
      <c r="D56" s="10">
        <v>2</v>
      </c>
      <c r="E56" s="10">
        <v>23</v>
      </c>
      <c r="F56" s="10">
        <v>199237</v>
      </c>
      <c r="G56" s="10">
        <v>46714</v>
      </c>
      <c r="H56" s="10">
        <v>442</v>
      </c>
      <c r="I56" s="10">
        <v>74549</v>
      </c>
      <c r="J56" s="10">
        <v>24505685</v>
      </c>
      <c r="K56" s="10">
        <v>89700</v>
      </c>
      <c r="L56" s="12">
        <v>2227878</v>
      </c>
      <c r="M56" s="13">
        <f>+_xlfn.XLOOKUP(D56&amp;"-"&amp;E56,'[1]Listado Lotes'!$K$3:$K$385,'[1]Listado Lotes'!$E$3:$E$385)</f>
        <v>298.69</v>
      </c>
      <c r="N56" s="28" t="s">
        <v>233</v>
      </c>
      <c r="O56" s="14" t="e">
        <v>#N/A</v>
      </c>
      <c r="P56" s="15" t="e">
        <v>#N/A</v>
      </c>
      <c r="Q56" s="16" t="e">
        <v>#N/A</v>
      </c>
      <c r="R56" s="16" t="e">
        <v>#N/A</v>
      </c>
      <c r="S56" s="17" t="e">
        <v>#N/A</v>
      </c>
      <c r="T56" s="17" t="e">
        <v>#N/A</v>
      </c>
      <c r="U56" s="18"/>
      <c r="V56" s="18"/>
      <c r="W56" s="18" t="e">
        <v>#N/A</v>
      </c>
      <c r="X56" s="19"/>
      <c r="Y56" s="19"/>
      <c r="Z56" s="19"/>
      <c r="AA56" s="19"/>
    </row>
    <row r="57" spans="1:27" ht="14.25" customHeight="1" x14ac:dyDescent="0.3">
      <c r="A57" s="11">
        <v>56</v>
      </c>
      <c r="B57" s="10">
        <v>5</v>
      </c>
      <c r="C57" s="11" t="s">
        <v>23</v>
      </c>
      <c r="D57" s="10">
        <v>2</v>
      </c>
      <c r="E57" s="10">
        <v>24</v>
      </c>
      <c r="F57" s="10">
        <v>199238</v>
      </c>
      <c r="G57" s="10">
        <v>46715</v>
      </c>
      <c r="H57" s="10">
        <v>442</v>
      </c>
      <c r="I57" s="10">
        <v>74550</v>
      </c>
      <c r="J57" s="10">
        <v>24491943</v>
      </c>
      <c r="K57" s="10">
        <v>89700</v>
      </c>
      <c r="L57" s="12">
        <v>2227878</v>
      </c>
      <c r="M57" s="13">
        <f>+_xlfn.XLOOKUP(D57&amp;"-"&amp;E57,'[1]Listado Lotes'!$K$3:$K$385,'[1]Listado Lotes'!$E$3:$E$385)</f>
        <v>298.69</v>
      </c>
      <c r="N57" s="28" t="s">
        <v>233</v>
      </c>
      <c r="O57" s="14" t="e">
        <v>#N/A</v>
      </c>
      <c r="P57" s="15" t="e">
        <v>#N/A</v>
      </c>
      <c r="Q57" s="16" t="e">
        <v>#N/A</v>
      </c>
      <c r="R57" s="16" t="e">
        <v>#N/A</v>
      </c>
      <c r="S57" s="17" t="e">
        <v>#N/A</v>
      </c>
      <c r="T57" s="17" t="e">
        <v>#N/A</v>
      </c>
      <c r="U57" s="18"/>
      <c r="V57" s="18"/>
      <c r="W57" s="18" t="e">
        <v>#N/A</v>
      </c>
      <c r="X57" s="19"/>
      <c r="Y57" s="19"/>
      <c r="Z57" s="19"/>
      <c r="AA57" s="19"/>
    </row>
    <row r="58" spans="1:27" ht="14.25" customHeight="1" x14ac:dyDescent="0.3">
      <c r="A58" s="11">
        <v>57</v>
      </c>
      <c r="B58" s="10">
        <v>5</v>
      </c>
      <c r="C58" s="11" t="s">
        <v>23</v>
      </c>
      <c r="D58" s="10">
        <v>2</v>
      </c>
      <c r="E58" s="10">
        <v>25</v>
      </c>
      <c r="F58" s="10">
        <v>199239</v>
      </c>
      <c r="G58" s="10">
        <v>46716</v>
      </c>
      <c r="H58" s="10">
        <v>442</v>
      </c>
      <c r="I58" s="10">
        <v>74551</v>
      </c>
      <c r="J58" s="10">
        <v>24491944</v>
      </c>
      <c r="K58" s="10">
        <v>89700</v>
      </c>
      <c r="L58" s="12">
        <v>2227878</v>
      </c>
      <c r="M58" s="13">
        <f>+_xlfn.XLOOKUP(D58&amp;"-"&amp;E58,'[1]Listado Lotes'!$K$3:$K$385,'[1]Listado Lotes'!$E$3:$E$385)</f>
        <v>298.69</v>
      </c>
      <c r="N58" s="28" t="s">
        <v>233</v>
      </c>
      <c r="O58" s="14" t="e">
        <v>#N/A</v>
      </c>
      <c r="P58" s="15" t="e">
        <v>#N/A</v>
      </c>
      <c r="Q58" s="16" t="e">
        <v>#N/A</v>
      </c>
      <c r="R58" s="16" t="e">
        <v>#N/A</v>
      </c>
      <c r="S58" s="17" t="e">
        <v>#N/A</v>
      </c>
      <c r="T58" s="17" t="e">
        <v>#N/A</v>
      </c>
      <c r="U58" s="18"/>
      <c r="V58" s="18"/>
      <c r="W58" s="18" t="e">
        <v>#N/A</v>
      </c>
      <c r="X58" s="19"/>
      <c r="Y58" s="19"/>
      <c r="Z58" s="19"/>
      <c r="AA58" s="19"/>
    </row>
    <row r="59" spans="1:27" ht="14.25" customHeight="1" x14ac:dyDescent="0.3">
      <c r="A59" s="11">
        <v>58</v>
      </c>
      <c r="B59" s="10">
        <v>5</v>
      </c>
      <c r="C59" s="11" t="s">
        <v>23</v>
      </c>
      <c r="D59" s="10">
        <v>2</v>
      </c>
      <c r="E59" s="10">
        <v>26</v>
      </c>
      <c r="F59" s="10">
        <v>199240</v>
      </c>
      <c r="G59" s="10">
        <v>46717</v>
      </c>
      <c r="H59" s="10">
        <v>442</v>
      </c>
      <c r="I59" s="10">
        <v>74552</v>
      </c>
      <c r="J59" s="10">
        <v>24491945</v>
      </c>
      <c r="K59" s="10">
        <v>89700</v>
      </c>
      <c r="L59" s="12">
        <v>2227878</v>
      </c>
      <c r="M59" s="13">
        <f>+_xlfn.XLOOKUP(D59&amp;"-"&amp;E59,'[1]Listado Lotes'!$K$3:$K$385,'[1]Listado Lotes'!$E$3:$E$385)</f>
        <v>298.69</v>
      </c>
      <c r="N59" s="28" t="s">
        <v>233</v>
      </c>
      <c r="O59" s="14" t="e">
        <v>#N/A</v>
      </c>
      <c r="P59" s="15" t="e">
        <v>#N/A</v>
      </c>
      <c r="Q59" s="16" t="e">
        <v>#N/A</v>
      </c>
      <c r="R59" s="16" t="e">
        <v>#N/A</v>
      </c>
      <c r="S59" s="17" t="e">
        <v>#N/A</v>
      </c>
      <c r="T59" s="17" t="e">
        <v>#N/A</v>
      </c>
      <c r="U59" s="18"/>
      <c r="V59" s="18"/>
      <c r="W59" s="18" t="e">
        <v>#N/A</v>
      </c>
      <c r="X59" s="19"/>
      <c r="Y59" s="19"/>
      <c r="Z59" s="19"/>
      <c r="AA59" s="19"/>
    </row>
    <row r="60" spans="1:27" ht="14.25" customHeight="1" x14ac:dyDescent="0.3">
      <c r="A60" s="11">
        <v>59</v>
      </c>
      <c r="B60" s="10">
        <v>5</v>
      </c>
      <c r="C60" s="11" t="s">
        <v>23</v>
      </c>
      <c r="D60" s="10">
        <v>2</v>
      </c>
      <c r="E60" s="10">
        <v>27</v>
      </c>
      <c r="F60" s="10">
        <v>199241</v>
      </c>
      <c r="G60" s="10">
        <v>46718</v>
      </c>
      <c r="H60" s="10">
        <v>442</v>
      </c>
      <c r="I60" s="10">
        <v>74553</v>
      </c>
      <c r="J60" s="10">
        <v>24491946</v>
      </c>
      <c r="K60" s="10">
        <v>89700</v>
      </c>
      <c r="L60" s="12">
        <v>2227878</v>
      </c>
      <c r="M60" s="13">
        <f>+_xlfn.XLOOKUP(D60&amp;"-"&amp;E60,'[1]Listado Lotes'!$K$3:$K$385,'[1]Listado Lotes'!$E$3:$E$385)</f>
        <v>298.69</v>
      </c>
      <c r="N60" s="28" t="s">
        <v>233</v>
      </c>
      <c r="O60" s="14" t="e">
        <v>#N/A</v>
      </c>
      <c r="P60" s="15" t="e">
        <v>#N/A</v>
      </c>
      <c r="Q60" s="16" t="e">
        <v>#N/A</v>
      </c>
      <c r="R60" s="16" t="e">
        <v>#N/A</v>
      </c>
      <c r="S60" s="17" t="e">
        <v>#N/A</v>
      </c>
      <c r="T60" s="17" t="e">
        <v>#N/A</v>
      </c>
      <c r="U60" s="18"/>
      <c r="V60" s="18"/>
      <c r="W60" s="18" t="e">
        <v>#N/A</v>
      </c>
      <c r="X60" s="19"/>
      <c r="Y60" s="19"/>
      <c r="Z60" s="19"/>
      <c r="AA60" s="19"/>
    </row>
    <row r="61" spans="1:27" ht="14.25" customHeight="1" x14ac:dyDescent="0.3">
      <c r="A61" s="11">
        <v>60</v>
      </c>
      <c r="B61" s="10">
        <v>5</v>
      </c>
      <c r="C61" s="11" t="s">
        <v>23</v>
      </c>
      <c r="D61" s="10">
        <v>2</v>
      </c>
      <c r="E61" s="10">
        <v>28</v>
      </c>
      <c r="F61" s="10">
        <v>199242</v>
      </c>
      <c r="G61" s="10">
        <v>46719</v>
      </c>
      <c r="H61" s="10">
        <v>442</v>
      </c>
      <c r="I61" s="10">
        <v>74554</v>
      </c>
      <c r="J61" s="10">
        <v>24491949</v>
      </c>
      <c r="K61" s="10">
        <v>89700</v>
      </c>
      <c r="L61" s="12">
        <v>2227878</v>
      </c>
      <c r="M61" s="13">
        <f>+_xlfn.XLOOKUP(D61&amp;"-"&amp;E61,'[1]Listado Lotes'!$K$3:$K$385,'[1]Listado Lotes'!$E$3:$E$385)</f>
        <v>298.69</v>
      </c>
      <c r="N61" s="28" t="s">
        <v>233</v>
      </c>
      <c r="O61" s="14" t="e">
        <v>#N/A</v>
      </c>
      <c r="P61" s="15" t="e">
        <v>#N/A</v>
      </c>
      <c r="Q61" s="16" t="e">
        <v>#N/A</v>
      </c>
      <c r="R61" s="16" t="e">
        <v>#N/A</v>
      </c>
      <c r="S61" s="17" t="e">
        <v>#N/A</v>
      </c>
      <c r="T61" s="17" t="e">
        <v>#N/A</v>
      </c>
      <c r="U61" s="18"/>
      <c r="V61" s="18"/>
      <c r="W61" s="18" t="e">
        <v>#N/A</v>
      </c>
      <c r="X61" s="19"/>
      <c r="Y61" s="19"/>
      <c r="Z61" s="19"/>
      <c r="AA61" s="19"/>
    </row>
    <row r="62" spans="1:27" ht="14.25" customHeight="1" x14ac:dyDescent="0.3">
      <c r="A62" s="11">
        <v>61</v>
      </c>
      <c r="B62" s="10">
        <v>5</v>
      </c>
      <c r="C62" s="11" t="s">
        <v>23</v>
      </c>
      <c r="D62" s="10">
        <v>3</v>
      </c>
      <c r="E62" s="10">
        <v>1</v>
      </c>
      <c r="F62" s="10">
        <v>199500</v>
      </c>
      <c r="G62" s="10">
        <v>46720</v>
      </c>
      <c r="H62" s="10">
        <v>442</v>
      </c>
      <c r="I62" s="10">
        <v>74437</v>
      </c>
      <c r="J62" s="10">
        <v>24491950</v>
      </c>
      <c r="K62" s="10">
        <v>98241</v>
      </c>
      <c r="L62" s="12">
        <v>2440026</v>
      </c>
      <c r="M62" s="13">
        <f>+_xlfn.XLOOKUP(D62&amp;"-"&amp;E62,'[1]Listado Lotes'!$K$3:$K$385,'[1]Listado Lotes'!$E$3:$E$385)</f>
        <v>229.5</v>
      </c>
      <c r="N62" s="20" t="s">
        <v>24</v>
      </c>
      <c r="O62" s="21">
        <v>15000</v>
      </c>
      <c r="P62" s="22">
        <v>65.502183406113531</v>
      </c>
      <c r="Q62" s="23">
        <v>0.3</v>
      </c>
      <c r="R62" s="24">
        <v>0.01</v>
      </c>
      <c r="S62" s="25">
        <v>4500</v>
      </c>
      <c r="T62" s="25">
        <v>10500</v>
      </c>
      <c r="U62" s="26">
        <v>323.75</v>
      </c>
      <c r="V62" s="26">
        <v>280</v>
      </c>
      <c r="W62" s="18" t="s">
        <v>25</v>
      </c>
      <c r="X62" s="19"/>
      <c r="Y62" s="19"/>
      <c r="Z62" s="19"/>
      <c r="AA62" s="19"/>
    </row>
    <row r="63" spans="1:27" ht="14.25" customHeight="1" x14ac:dyDescent="0.3">
      <c r="A63" s="11">
        <v>62</v>
      </c>
      <c r="B63" s="10">
        <v>5</v>
      </c>
      <c r="C63" s="11" t="s">
        <v>23</v>
      </c>
      <c r="D63" s="10">
        <v>3</v>
      </c>
      <c r="E63" s="10">
        <v>2</v>
      </c>
      <c r="F63" s="10">
        <v>199501</v>
      </c>
      <c r="G63" s="10">
        <v>46721</v>
      </c>
      <c r="H63" s="10">
        <v>442</v>
      </c>
      <c r="I63" s="10">
        <v>74438</v>
      </c>
      <c r="J63" s="10">
        <v>24491951</v>
      </c>
      <c r="K63" s="10">
        <v>75114</v>
      </c>
      <c r="L63" s="12">
        <v>1865606</v>
      </c>
      <c r="M63" s="13">
        <f>+_xlfn.XLOOKUP(D63&amp;"-"&amp;E63,'[1]Listado Lotes'!$K$3:$K$385,'[1]Listado Lotes'!$E$3:$E$385)</f>
        <v>233.98</v>
      </c>
      <c r="N63" s="20" t="s">
        <v>24</v>
      </c>
      <c r="O63" s="21">
        <v>15000</v>
      </c>
      <c r="P63" s="22">
        <v>64.102564102564102</v>
      </c>
      <c r="Q63" s="23">
        <v>0.3</v>
      </c>
      <c r="R63" s="24">
        <v>0.01</v>
      </c>
      <c r="S63" s="25">
        <v>4500</v>
      </c>
      <c r="T63" s="25">
        <v>10500</v>
      </c>
      <c r="U63" s="26">
        <v>323.75</v>
      </c>
      <c r="V63" s="26">
        <v>280</v>
      </c>
      <c r="W63" s="18" t="s">
        <v>25</v>
      </c>
      <c r="X63" s="19"/>
      <c r="Y63" s="19"/>
      <c r="Z63" s="19"/>
      <c r="AA63" s="19"/>
    </row>
    <row r="64" spans="1:27" ht="14.25" customHeight="1" x14ac:dyDescent="0.3">
      <c r="A64" s="11">
        <v>63</v>
      </c>
      <c r="B64" s="10">
        <v>5</v>
      </c>
      <c r="C64" s="11" t="s">
        <v>23</v>
      </c>
      <c r="D64" s="10">
        <v>3</v>
      </c>
      <c r="E64" s="10">
        <v>4</v>
      </c>
      <c r="F64" s="10">
        <v>199503</v>
      </c>
      <c r="G64" s="10">
        <v>46723</v>
      </c>
      <c r="H64" s="10">
        <v>442</v>
      </c>
      <c r="I64" s="10">
        <v>74439</v>
      </c>
      <c r="J64" s="10">
        <v>24491953</v>
      </c>
      <c r="K64" s="10">
        <v>75114</v>
      </c>
      <c r="L64" s="12">
        <v>1865606</v>
      </c>
      <c r="M64" s="13">
        <f>+_xlfn.XLOOKUP(D64&amp;"-"&amp;E64,'[1]Listado Lotes'!$K$3:$K$385,'[1]Listado Lotes'!$E$3:$E$385)</f>
        <v>233.98</v>
      </c>
      <c r="N64" s="20" t="s">
        <v>24</v>
      </c>
      <c r="O64" s="21">
        <v>15000</v>
      </c>
      <c r="P64" s="22">
        <v>64.102564102564102</v>
      </c>
      <c r="Q64" s="23">
        <v>0.3</v>
      </c>
      <c r="R64" s="24">
        <v>0.01</v>
      </c>
      <c r="S64" s="25">
        <v>4500</v>
      </c>
      <c r="T64" s="25">
        <v>10500</v>
      </c>
      <c r="U64" s="26">
        <v>323.75</v>
      </c>
      <c r="V64" s="26">
        <v>280</v>
      </c>
      <c r="W64" s="18" t="s">
        <v>25</v>
      </c>
      <c r="X64" s="19"/>
      <c r="Y64" s="19"/>
      <c r="Z64" s="19"/>
      <c r="AA64" s="19"/>
    </row>
    <row r="65" spans="1:27" ht="14.25" customHeight="1" x14ac:dyDescent="0.3">
      <c r="A65" s="11">
        <v>64</v>
      </c>
      <c r="B65" s="10">
        <v>5</v>
      </c>
      <c r="C65" s="11" t="s">
        <v>23</v>
      </c>
      <c r="D65" s="10">
        <v>3</v>
      </c>
      <c r="E65" s="10">
        <v>5</v>
      </c>
      <c r="F65" s="10">
        <v>199504</v>
      </c>
      <c r="G65" s="10">
        <v>46724</v>
      </c>
      <c r="H65" s="10">
        <v>442</v>
      </c>
      <c r="I65" s="10">
        <v>74440</v>
      </c>
      <c r="J65" s="10">
        <v>24491954</v>
      </c>
      <c r="K65" s="10">
        <v>75114</v>
      </c>
      <c r="L65" s="12">
        <v>1865606</v>
      </c>
      <c r="M65" s="13">
        <f>+_xlfn.XLOOKUP(D65&amp;"-"&amp;E65,'[1]Listado Lotes'!$K$3:$K$385,'[1]Listado Lotes'!$E$3:$E$385)</f>
        <v>233.98</v>
      </c>
      <c r="N65" s="20" t="s">
        <v>24</v>
      </c>
      <c r="O65" s="21">
        <v>15000</v>
      </c>
      <c r="P65" s="22">
        <v>64.102564102564102</v>
      </c>
      <c r="Q65" s="23">
        <v>0.3</v>
      </c>
      <c r="R65" s="24">
        <v>0.01</v>
      </c>
      <c r="S65" s="25">
        <v>4500</v>
      </c>
      <c r="T65" s="25">
        <v>10500</v>
      </c>
      <c r="U65" s="26">
        <v>323.75</v>
      </c>
      <c r="V65" s="26">
        <v>280</v>
      </c>
      <c r="W65" s="18" t="s">
        <v>25</v>
      </c>
      <c r="X65" s="19"/>
      <c r="Y65" s="19"/>
      <c r="Z65" s="19"/>
      <c r="AA65" s="19"/>
    </row>
    <row r="66" spans="1:27" ht="14.25" customHeight="1" x14ac:dyDescent="0.3">
      <c r="A66" s="11">
        <v>65</v>
      </c>
      <c r="B66" s="10">
        <v>5</v>
      </c>
      <c r="C66" s="11" t="s">
        <v>23</v>
      </c>
      <c r="D66" s="10">
        <v>3</v>
      </c>
      <c r="E66" s="10">
        <v>6</v>
      </c>
      <c r="F66" s="10">
        <v>199505</v>
      </c>
      <c r="G66" s="10">
        <v>46725</v>
      </c>
      <c r="H66" s="10">
        <v>442</v>
      </c>
      <c r="I66" s="10">
        <v>74441</v>
      </c>
      <c r="J66" s="10">
        <v>24491956</v>
      </c>
      <c r="K66" s="10">
        <v>98241</v>
      </c>
      <c r="L66" s="12">
        <v>2440026</v>
      </c>
      <c r="M66" s="13">
        <f>+_xlfn.XLOOKUP(D66&amp;"-"&amp;E66,'[1]Listado Lotes'!$K$3:$K$385,'[1]Listado Lotes'!$E$3:$E$385)</f>
        <v>229.5</v>
      </c>
      <c r="N66" s="20" t="s">
        <v>24</v>
      </c>
      <c r="O66" s="21">
        <v>15000</v>
      </c>
      <c r="P66" s="22">
        <v>65.502183406113531</v>
      </c>
      <c r="Q66" s="23">
        <v>0.3</v>
      </c>
      <c r="R66" s="24">
        <v>0.01</v>
      </c>
      <c r="S66" s="25">
        <v>4500</v>
      </c>
      <c r="T66" s="25">
        <v>10500</v>
      </c>
      <c r="U66" s="26">
        <v>323.75</v>
      </c>
      <c r="V66" s="26">
        <v>280</v>
      </c>
      <c r="W66" s="18" t="s">
        <v>25</v>
      </c>
      <c r="X66" s="19"/>
      <c r="Y66" s="19"/>
      <c r="Z66" s="19"/>
      <c r="AA66" s="19"/>
    </row>
    <row r="67" spans="1:27" ht="14.25" customHeight="1" x14ac:dyDescent="0.3">
      <c r="A67" s="11">
        <v>66</v>
      </c>
      <c r="B67" s="10">
        <v>5</v>
      </c>
      <c r="C67" s="11" t="s">
        <v>23</v>
      </c>
      <c r="D67" s="10">
        <v>3</v>
      </c>
      <c r="E67" s="10">
        <v>7</v>
      </c>
      <c r="F67" s="10">
        <v>199506</v>
      </c>
      <c r="G67" s="10">
        <v>46726</v>
      </c>
      <c r="H67" s="10">
        <v>442</v>
      </c>
      <c r="I67" s="10">
        <v>74442</v>
      </c>
      <c r="J67" s="10">
        <v>24491957</v>
      </c>
      <c r="K67" s="10">
        <v>89700</v>
      </c>
      <c r="L67" s="12">
        <v>2227878</v>
      </c>
      <c r="M67" s="13">
        <f>+_xlfn.XLOOKUP(D67&amp;"-"&amp;E67,'[1]Listado Lotes'!$K$3:$K$385,'[1]Listado Lotes'!$E$3:$E$385)</f>
        <v>298.69</v>
      </c>
      <c r="N67" s="20" t="s">
        <v>24</v>
      </c>
      <c r="O67" s="21">
        <v>15000</v>
      </c>
      <c r="P67" s="22">
        <v>50.167224080267559</v>
      </c>
      <c r="Q67" s="23">
        <v>0.3</v>
      </c>
      <c r="R67" s="24">
        <v>0.01</v>
      </c>
      <c r="S67" s="25">
        <v>4500</v>
      </c>
      <c r="T67" s="25">
        <v>10500</v>
      </c>
      <c r="U67" s="26">
        <v>323.75</v>
      </c>
      <c r="V67" s="26">
        <v>280</v>
      </c>
      <c r="W67" s="18" t="s">
        <v>26</v>
      </c>
      <c r="X67" s="19"/>
      <c r="Y67" s="19"/>
      <c r="Z67" s="19"/>
      <c r="AA67" s="19"/>
    </row>
    <row r="68" spans="1:27" ht="14.25" customHeight="1" x14ac:dyDescent="0.3">
      <c r="A68" s="11">
        <v>67</v>
      </c>
      <c r="B68" s="10">
        <v>5</v>
      </c>
      <c r="C68" s="11" t="s">
        <v>23</v>
      </c>
      <c r="D68" s="10">
        <v>3</v>
      </c>
      <c r="E68" s="10">
        <v>8</v>
      </c>
      <c r="F68" s="10">
        <v>199507</v>
      </c>
      <c r="G68" s="10">
        <v>46727</v>
      </c>
      <c r="H68" s="10">
        <v>442</v>
      </c>
      <c r="I68" s="10">
        <v>74443</v>
      </c>
      <c r="J68" s="10">
        <v>24491958</v>
      </c>
      <c r="K68" s="10">
        <v>89700</v>
      </c>
      <c r="L68" s="12">
        <v>2227878</v>
      </c>
      <c r="M68" s="13">
        <f>+_xlfn.XLOOKUP(D68&amp;"-"&amp;E68,'[1]Listado Lotes'!$K$3:$K$385,'[1]Listado Lotes'!$E$3:$E$385)</f>
        <v>298.69</v>
      </c>
      <c r="N68" s="20" t="s">
        <v>24</v>
      </c>
      <c r="O68" s="21">
        <v>15000</v>
      </c>
      <c r="P68" s="22">
        <v>50.167224080267559</v>
      </c>
      <c r="Q68" s="23">
        <v>0.3</v>
      </c>
      <c r="R68" s="24">
        <v>0.01</v>
      </c>
      <c r="S68" s="25">
        <v>4500</v>
      </c>
      <c r="T68" s="25">
        <v>10500</v>
      </c>
      <c r="U68" s="26">
        <v>323.75</v>
      </c>
      <c r="V68" s="26">
        <v>280</v>
      </c>
      <c r="W68" s="18" t="s">
        <v>26</v>
      </c>
      <c r="X68" s="19"/>
      <c r="Y68" s="19"/>
      <c r="Z68" s="19"/>
      <c r="AA68" s="19"/>
    </row>
    <row r="69" spans="1:27" ht="14.25" customHeight="1" x14ac:dyDescent="0.3">
      <c r="A69" s="11">
        <v>68</v>
      </c>
      <c r="B69" s="10">
        <v>5</v>
      </c>
      <c r="C69" s="11" t="s">
        <v>23</v>
      </c>
      <c r="D69" s="10">
        <v>3</v>
      </c>
      <c r="E69" s="10">
        <v>9</v>
      </c>
      <c r="F69" s="10">
        <v>199508</v>
      </c>
      <c r="G69" s="10">
        <v>46728</v>
      </c>
      <c r="H69" s="10">
        <v>442</v>
      </c>
      <c r="I69" s="10">
        <v>74444</v>
      </c>
      <c r="J69" s="10">
        <v>24491959</v>
      </c>
      <c r="K69" s="10">
        <v>89700</v>
      </c>
      <c r="L69" s="12">
        <v>2227878</v>
      </c>
      <c r="M69" s="13">
        <f>+_xlfn.XLOOKUP(D69&amp;"-"&amp;E69,'[1]Listado Lotes'!$K$3:$K$385,'[1]Listado Lotes'!$E$3:$E$385)</f>
        <v>298.69</v>
      </c>
      <c r="N69" s="20" t="s">
        <v>24</v>
      </c>
      <c r="O69" s="21">
        <v>15000</v>
      </c>
      <c r="P69" s="22">
        <v>50.167224080267559</v>
      </c>
      <c r="Q69" s="23">
        <v>0.3</v>
      </c>
      <c r="R69" s="24">
        <v>0.01</v>
      </c>
      <c r="S69" s="25">
        <v>4500</v>
      </c>
      <c r="T69" s="25">
        <v>10500</v>
      </c>
      <c r="U69" s="26">
        <v>323.75</v>
      </c>
      <c r="V69" s="26">
        <v>280</v>
      </c>
      <c r="W69" s="18" t="s">
        <v>26</v>
      </c>
      <c r="X69" s="19"/>
      <c r="Y69" s="19"/>
      <c r="Z69" s="19"/>
      <c r="AA69" s="19"/>
    </row>
    <row r="70" spans="1:27" ht="14.25" customHeight="1" x14ac:dyDescent="0.3">
      <c r="A70" s="11">
        <v>69</v>
      </c>
      <c r="B70" s="10">
        <v>5</v>
      </c>
      <c r="C70" s="11" t="s">
        <v>23</v>
      </c>
      <c r="D70" s="10">
        <v>3</v>
      </c>
      <c r="E70" s="10">
        <v>10</v>
      </c>
      <c r="F70" s="10">
        <v>199509</v>
      </c>
      <c r="G70" s="11" t="s">
        <v>27</v>
      </c>
      <c r="H70" s="10">
        <v>442</v>
      </c>
      <c r="I70" s="10">
        <v>74445</v>
      </c>
      <c r="J70" s="10">
        <v>24491960</v>
      </c>
      <c r="K70" s="10">
        <v>89700</v>
      </c>
      <c r="L70" s="12">
        <v>2227878</v>
      </c>
      <c r="M70" s="13">
        <f>+_xlfn.XLOOKUP(D70&amp;"-"&amp;E70,'[1]Listado Lotes'!$K$3:$K$385,'[1]Listado Lotes'!$E$3:$E$385)</f>
        <v>298.69</v>
      </c>
      <c r="N70" s="20" t="s">
        <v>24</v>
      </c>
      <c r="O70" s="21">
        <v>15000</v>
      </c>
      <c r="P70" s="22">
        <v>50.167224080267559</v>
      </c>
      <c r="Q70" s="23">
        <v>0.3</v>
      </c>
      <c r="R70" s="24">
        <v>0.01</v>
      </c>
      <c r="S70" s="25">
        <v>4500</v>
      </c>
      <c r="T70" s="25">
        <v>10500</v>
      </c>
      <c r="U70" s="26">
        <v>323.75</v>
      </c>
      <c r="V70" s="26">
        <v>280</v>
      </c>
      <c r="W70" s="18" t="s">
        <v>26</v>
      </c>
      <c r="X70" s="19"/>
      <c r="Y70" s="19"/>
      <c r="Z70" s="19"/>
      <c r="AA70" s="19"/>
    </row>
    <row r="71" spans="1:27" ht="14.25" customHeight="1" x14ac:dyDescent="0.3">
      <c r="A71" s="11">
        <v>70</v>
      </c>
      <c r="B71" s="10">
        <v>5</v>
      </c>
      <c r="C71" s="11" t="s">
        <v>23</v>
      </c>
      <c r="D71" s="10">
        <v>3</v>
      </c>
      <c r="E71" s="10">
        <v>11</v>
      </c>
      <c r="F71" s="10">
        <v>199510</v>
      </c>
      <c r="G71" s="10">
        <v>46729</v>
      </c>
      <c r="H71" s="10">
        <v>442</v>
      </c>
      <c r="I71" s="10">
        <v>74446</v>
      </c>
      <c r="J71" s="10">
        <v>24491961</v>
      </c>
      <c r="K71" s="10">
        <v>89700</v>
      </c>
      <c r="L71" s="12">
        <v>2227878</v>
      </c>
      <c r="M71" s="13">
        <f>+_xlfn.XLOOKUP(D71&amp;"-"&amp;E71,'[1]Listado Lotes'!$K$3:$K$385,'[1]Listado Lotes'!$E$3:$E$385)</f>
        <v>298.69</v>
      </c>
      <c r="N71" s="20" t="s">
        <v>24</v>
      </c>
      <c r="O71" s="21">
        <v>15000</v>
      </c>
      <c r="P71" s="22">
        <v>50.167224080267559</v>
      </c>
      <c r="Q71" s="23">
        <v>0.3</v>
      </c>
      <c r="R71" s="24">
        <v>0.01</v>
      </c>
      <c r="S71" s="25">
        <v>4500</v>
      </c>
      <c r="T71" s="25">
        <v>10500</v>
      </c>
      <c r="U71" s="26">
        <v>323.75</v>
      </c>
      <c r="V71" s="26">
        <v>280</v>
      </c>
      <c r="W71" s="18" t="s">
        <v>26</v>
      </c>
      <c r="X71" s="19"/>
      <c r="Y71" s="19"/>
      <c r="Z71" s="19"/>
      <c r="AA71" s="19"/>
    </row>
    <row r="72" spans="1:27" ht="14.25" customHeight="1" x14ac:dyDescent="0.3">
      <c r="A72" s="11">
        <v>71</v>
      </c>
      <c r="B72" s="10">
        <v>5</v>
      </c>
      <c r="C72" s="11" t="s">
        <v>23</v>
      </c>
      <c r="D72" s="10">
        <v>3</v>
      </c>
      <c r="E72" s="10">
        <v>12</v>
      </c>
      <c r="F72" s="10">
        <v>199511</v>
      </c>
      <c r="G72" s="10">
        <v>46730</v>
      </c>
      <c r="H72" s="10">
        <v>442</v>
      </c>
      <c r="I72" s="10">
        <v>74447</v>
      </c>
      <c r="J72" s="10">
        <v>24491962</v>
      </c>
      <c r="K72" s="10">
        <v>89700</v>
      </c>
      <c r="L72" s="12">
        <v>2227878</v>
      </c>
      <c r="M72" s="13">
        <f>+_xlfn.XLOOKUP(D72&amp;"-"&amp;E72,'[1]Listado Lotes'!$K$3:$K$385,'[1]Listado Lotes'!$E$3:$E$385)</f>
        <v>298.69</v>
      </c>
      <c r="N72" s="20" t="s">
        <v>24</v>
      </c>
      <c r="O72" s="21">
        <v>15000</v>
      </c>
      <c r="P72" s="22">
        <v>50.167224080267559</v>
      </c>
      <c r="Q72" s="23">
        <v>0.3</v>
      </c>
      <c r="R72" s="24">
        <v>0.01</v>
      </c>
      <c r="S72" s="25">
        <v>4500</v>
      </c>
      <c r="T72" s="25">
        <v>10500</v>
      </c>
      <c r="U72" s="26">
        <v>323.75</v>
      </c>
      <c r="V72" s="26">
        <v>280</v>
      </c>
      <c r="W72" s="18" t="s">
        <v>26</v>
      </c>
      <c r="X72" s="19"/>
      <c r="Y72" s="19"/>
      <c r="Z72" s="19"/>
      <c r="AA72" s="19"/>
    </row>
    <row r="73" spans="1:27" ht="14.25" customHeight="1" x14ac:dyDescent="0.3">
      <c r="A73" s="11">
        <v>72</v>
      </c>
      <c r="B73" s="10">
        <v>5</v>
      </c>
      <c r="C73" s="11" t="s">
        <v>23</v>
      </c>
      <c r="D73" s="10">
        <v>3</v>
      </c>
      <c r="E73" s="10">
        <v>14</v>
      </c>
      <c r="F73" s="10">
        <v>199513</v>
      </c>
      <c r="G73" s="10">
        <v>46732</v>
      </c>
      <c r="H73" s="10">
        <v>442</v>
      </c>
      <c r="I73" s="10">
        <v>74448</v>
      </c>
      <c r="J73" s="10">
        <v>24491965</v>
      </c>
      <c r="K73" s="10">
        <v>89700</v>
      </c>
      <c r="L73" s="12">
        <v>2227878</v>
      </c>
      <c r="M73" s="13">
        <f>+_xlfn.XLOOKUP(D73&amp;"-"&amp;E73,'[1]Listado Lotes'!$K$3:$K$385,'[1]Listado Lotes'!$E$3:$E$385)</f>
        <v>298.69</v>
      </c>
      <c r="N73" s="20" t="s">
        <v>24</v>
      </c>
      <c r="O73" s="21">
        <v>15000</v>
      </c>
      <c r="P73" s="22">
        <v>50.167224080267559</v>
      </c>
      <c r="Q73" s="23">
        <v>0.3</v>
      </c>
      <c r="R73" s="24">
        <v>0.01</v>
      </c>
      <c r="S73" s="25">
        <v>4500</v>
      </c>
      <c r="T73" s="25">
        <v>10500</v>
      </c>
      <c r="U73" s="26">
        <v>323.75</v>
      </c>
      <c r="V73" s="26">
        <v>280</v>
      </c>
      <c r="W73" s="18" t="s">
        <v>26</v>
      </c>
      <c r="X73" s="19"/>
      <c r="Y73" s="19"/>
      <c r="Z73" s="19"/>
      <c r="AA73" s="19"/>
    </row>
    <row r="74" spans="1:27" ht="14.25" customHeight="1" x14ac:dyDescent="0.3">
      <c r="A74" s="11">
        <v>73</v>
      </c>
      <c r="B74" s="10">
        <v>5</v>
      </c>
      <c r="C74" s="11" t="s">
        <v>23</v>
      </c>
      <c r="D74" s="10">
        <v>3</v>
      </c>
      <c r="E74" s="10">
        <v>15</v>
      </c>
      <c r="F74" s="10">
        <v>199514</v>
      </c>
      <c r="G74" s="10">
        <v>46733</v>
      </c>
      <c r="H74" s="10">
        <v>442</v>
      </c>
      <c r="I74" s="10">
        <v>74449</v>
      </c>
      <c r="J74" s="10">
        <v>24491966</v>
      </c>
      <c r="K74" s="10">
        <v>98241</v>
      </c>
      <c r="L74" s="12">
        <v>2440026</v>
      </c>
      <c r="M74" s="13">
        <f>+_xlfn.XLOOKUP(D74&amp;"-"&amp;E74,'[1]Listado Lotes'!$K$3:$K$385,'[1]Listado Lotes'!$E$3:$E$385)</f>
        <v>229.5</v>
      </c>
      <c r="N74" s="20" t="s">
        <v>24</v>
      </c>
      <c r="O74" s="21">
        <v>13500</v>
      </c>
      <c r="P74" s="22">
        <v>58.951965065502186</v>
      </c>
      <c r="Q74" s="23">
        <v>0.3</v>
      </c>
      <c r="R74" s="24">
        <v>0.01</v>
      </c>
      <c r="S74" s="25">
        <v>4050</v>
      </c>
      <c r="T74" s="25">
        <v>9450</v>
      </c>
      <c r="U74" s="26">
        <v>291.375</v>
      </c>
      <c r="V74" s="26">
        <v>252</v>
      </c>
      <c r="W74" s="18" t="s">
        <v>28</v>
      </c>
      <c r="X74" s="19"/>
      <c r="Y74" s="19"/>
      <c r="Z74" s="19"/>
      <c r="AA74" s="19"/>
    </row>
    <row r="75" spans="1:27" ht="14.25" customHeight="1" x14ac:dyDescent="0.3">
      <c r="A75" s="11">
        <v>74</v>
      </c>
      <c r="B75" s="10">
        <v>5</v>
      </c>
      <c r="C75" s="11" t="s">
        <v>23</v>
      </c>
      <c r="D75" s="10">
        <v>3</v>
      </c>
      <c r="E75" s="10">
        <v>16</v>
      </c>
      <c r="F75" s="10">
        <v>199515</v>
      </c>
      <c r="G75" s="10">
        <v>46734</v>
      </c>
      <c r="H75" s="10">
        <v>442</v>
      </c>
      <c r="I75" s="10">
        <v>74450</v>
      </c>
      <c r="J75" s="10">
        <v>24491967</v>
      </c>
      <c r="K75" s="10">
        <v>75114</v>
      </c>
      <c r="L75" s="12">
        <v>1865606</v>
      </c>
      <c r="M75" s="13">
        <f>+_xlfn.XLOOKUP(D75&amp;"-"&amp;E75,'[1]Listado Lotes'!$K$3:$K$385,'[1]Listado Lotes'!$E$3:$E$385)</f>
        <v>233.98</v>
      </c>
      <c r="N75" s="20" t="s">
        <v>24</v>
      </c>
      <c r="O75" s="21">
        <v>13500</v>
      </c>
      <c r="P75" s="22">
        <v>57.692307692307693</v>
      </c>
      <c r="Q75" s="23">
        <v>0.3</v>
      </c>
      <c r="R75" s="24">
        <v>0.01</v>
      </c>
      <c r="S75" s="25">
        <v>4050</v>
      </c>
      <c r="T75" s="25">
        <v>9450</v>
      </c>
      <c r="U75" s="26">
        <v>291.375</v>
      </c>
      <c r="V75" s="26">
        <v>252</v>
      </c>
      <c r="W75" s="18" t="s">
        <v>28</v>
      </c>
      <c r="X75" s="19"/>
      <c r="Y75" s="19"/>
      <c r="Z75" s="19"/>
      <c r="AA75" s="19"/>
    </row>
    <row r="76" spans="1:27" ht="14.25" customHeight="1" x14ac:dyDescent="0.3">
      <c r="A76" s="11">
        <v>75</v>
      </c>
      <c r="B76" s="10">
        <v>5</v>
      </c>
      <c r="C76" s="11" t="s">
        <v>23</v>
      </c>
      <c r="D76" s="10">
        <v>3</v>
      </c>
      <c r="E76" s="10">
        <v>17</v>
      </c>
      <c r="F76" s="10">
        <v>199516</v>
      </c>
      <c r="G76" s="10">
        <v>46735</v>
      </c>
      <c r="H76" s="10">
        <v>442</v>
      </c>
      <c r="I76" s="10">
        <v>74451</v>
      </c>
      <c r="J76" s="10">
        <v>24491968</v>
      </c>
      <c r="K76" s="10">
        <v>75114</v>
      </c>
      <c r="L76" s="12">
        <v>1865606</v>
      </c>
      <c r="M76" s="13">
        <f>+_xlfn.XLOOKUP(D76&amp;"-"&amp;E76,'[1]Listado Lotes'!$K$3:$K$385,'[1]Listado Lotes'!$E$3:$E$385)</f>
        <v>233.98</v>
      </c>
      <c r="N76" s="20" t="s">
        <v>24</v>
      </c>
      <c r="O76" s="21">
        <v>13500</v>
      </c>
      <c r="P76" s="22">
        <v>57.692307692307693</v>
      </c>
      <c r="Q76" s="23">
        <v>0.3</v>
      </c>
      <c r="R76" s="24">
        <v>0.01</v>
      </c>
      <c r="S76" s="25">
        <v>4050</v>
      </c>
      <c r="T76" s="25">
        <v>9450</v>
      </c>
      <c r="U76" s="26">
        <v>291.375</v>
      </c>
      <c r="V76" s="26">
        <v>252</v>
      </c>
      <c r="W76" s="18" t="s">
        <v>28</v>
      </c>
      <c r="X76" s="19"/>
      <c r="Y76" s="19"/>
      <c r="Z76" s="19"/>
      <c r="AA76" s="19"/>
    </row>
    <row r="77" spans="1:27" ht="14.25" customHeight="1" x14ac:dyDescent="0.3">
      <c r="A77" s="11">
        <v>76</v>
      </c>
      <c r="B77" s="10">
        <v>5</v>
      </c>
      <c r="C77" s="11" t="s">
        <v>23</v>
      </c>
      <c r="D77" s="10">
        <v>3</v>
      </c>
      <c r="E77" s="10">
        <v>18</v>
      </c>
      <c r="F77" s="10">
        <v>199517</v>
      </c>
      <c r="G77" s="10">
        <v>46736</v>
      </c>
      <c r="H77" s="10">
        <v>442</v>
      </c>
      <c r="I77" s="10">
        <v>74452</v>
      </c>
      <c r="J77" s="10">
        <v>24491970</v>
      </c>
      <c r="K77" s="10">
        <v>75114</v>
      </c>
      <c r="L77" s="12">
        <v>1865606</v>
      </c>
      <c r="M77" s="13">
        <f>+_xlfn.XLOOKUP(D77&amp;"-"&amp;E77,'[1]Listado Lotes'!$K$3:$K$385,'[1]Listado Lotes'!$E$3:$E$385)</f>
        <v>233.98</v>
      </c>
      <c r="N77" s="20" t="s">
        <v>24</v>
      </c>
      <c r="O77" s="21">
        <v>13500</v>
      </c>
      <c r="P77" s="22">
        <v>57.692307692307693</v>
      </c>
      <c r="Q77" s="23">
        <v>0.3</v>
      </c>
      <c r="R77" s="24">
        <v>0.01</v>
      </c>
      <c r="S77" s="25">
        <v>4050</v>
      </c>
      <c r="T77" s="25">
        <v>9450</v>
      </c>
      <c r="U77" s="26">
        <v>291.375</v>
      </c>
      <c r="V77" s="26">
        <v>252</v>
      </c>
      <c r="W77" s="18" t="s">
        <v>28</v>
      </c>
      <c r="X77" s="19"/>
      <c r="Y77" s="19"/>
      <c r="Z77" s="19"/>
      <c r="AA77" s="19"/>
    </row>
    <row r="78" spans="1:27" ht="14.25" customHeight="1" x14ac:dyDescent="0.3">
      <c r="A78" s="11">
        <v>77</v>
      </c>
      <c r="B78" s="10">
        <v>5</v>
      </c>
      <c r="C78" s="11" t="s">
        <v>23</v>
      </c>
      <c r="D78" s="10">
        <v>3</v>
      </c>
      <c r="E78" s="10">
        <v>19</v>
      </c>
      <c r="F78" s="10">
        <v>199518</v>
      </c>
      <c r="G78" s="10">
        <v>46737</v>
      </c>
      <c r="H78" s="10">
        <v>442</v>
      </c>
      <c r="I78" s="10">
        <v>74453</v>
      </c>
      <c r="J78" s="10">
        <v>24491971</v>
      </c>
      <c r="K78" s="10">
        <v>75114</v>
      </c>
      <c r="L78" s="12">
        <v>1865606</v>
      </c>
      <c r="M78" s="13">
        <f>+_xlfn.XLOOKUP(D78&amp;"-"&amp;E78,'[1]Listado Lotes'!$K$3:$K$385,'[1]Listado Lotes'!$E$3:$E$385)</f>
        <v>233.98</v>
      </c>
      <c r="N78" s="20" t="s">
        <v>24</v>
      </c>
      <c r="O78" s="21">
        <v>13500</v>
      </c>
      <c r="P78" s="22">
        <v>57.692307692307693</v>
      </c>
      <c r="Q78" s="23">
        <v>0.3</v>
      </c>
      <c r="R78" s="24">
        <v>0.01</v>
      </c>
      <c r="S78" s="25">
        <v>4050</v>
      </c>
      <c r="T78" s="25">
        <v>9450</v>
      </c>
      <c r="U78" s="26">
        <v>291.375</v>
      </c>
      <c r="V78" s="26">
        <v>252</v>
      </c>
      <c r="W78" s="18" t="s">
        <v>28</v>
      </c>
      <c r="X78" s="19"/>
      <c r="Y78" s="19"/>
      <c r="Z78" s="19"/>
      <c r="AA78" s="19"/>
    </row>
    <row r="79" spans="1:27" ht="14.25" customHeight="1" x14ac:dyDescent="0.3">
      <c r="A79" s="11">
        <v>78</v>
      </c>
      <c r="B79" s="10">
        <v>5</v>
      </c>
      <c r="C79" s="11" t="s">
        <v>23</v>
      </c>
      <c r="D79" s="10">
        <v>3</v>
      </c>
      <c r="E79" s="10">
        <v>20</v>
      </c>
      <c r="F79" s="10">
        <v>199519</v>
      </c>
      <c r="G79" s="10">
        <v>46738</v>
      </c>
      <c r="H79" s="10">
        <v>442</v>
      </c>
      <c r="I79" s="10">
        <v>74454</v>
      </c>
      <c r="J79" s="10">
        <v>24491972</v>
      </c>
      <c r="K79" s="10">
        <v>98241</v>
      </c>
      <c r="L79" s="12">
        <v>2440026</v>
      </c>
      <c r="M79" s="13">
        <f>+_xlfn.XLOOKUP(D79&amp;"-"&amp;E79,'[1]Listado Lotes'!$K$3:$K$385,'[1]Listado Lotes'!$E$3:$E$385)</f>
        <v>229.5</v>
      </c>
      <c r="N79" s="20" t="s">
        <v>24</v>
      </c>
      <c r="O79" s="21">
        <v>13500</v>
      </c>
      <c r="P79" s="22">
        <v>58.951965065502186</v>
      </c>
      <c r="Q79" s="23">
        <v>0.3</v>
      </c>
      <c r="R79" s="24">
        <v>0.01</v>
      </c>
      <c r="S79" s="25">
        <v>4050</v>
      </c>
      <c r="T79" s="25">
        <v>9450</v>
      </c>
      <c r="U79" s="26">
        <v>291.375</v>
      </c>
      <c r="V79" s="26">
        <v>252</v>
      </c>
      <c r="W79" s="18" t="s">
        <v>28</v>
      </c>
      <c r="X79" s="19"/>
      <c r="Y79" s="19"/>
      <c r="Z79" s="19"/>
      <c r="AA79" s="19"/>
    </row>
    <row r="80" spans="1:27" ht="14.25" customHeight="1" x14ac:dyDescent="0.3">
      <c r="A80" s="11">
        <v>79</v>
      </c>
      <c r="B80" s="10">
        <v>5</v>
      </c>
      <c r="C80" s="11" t="s">
        <v>23</v>
      </c>
      <c r="D80" s="10">
        <v>3</v>
      </c>
      <c r="E80" s="10">
        <v>21</v>
      </c>
      <c r="F80" s="10">
        <v>199520</v>
      </c>
      <c r="G80" s="10">
        <v>46739</v>
      </c>
      <c r="H80" s="10">
        <v>442</v>
      </c>
      <c r="I80" s="10">
        <v>74455</v>
      </c>
      <c r="J80" s="10">
        <v>24491973</v>
      </c>
      <c r="K80" s="10">
        <v>89700</v>
      </c>
      <c r="L80" s="12">
        <v>2227878</v>
      </c>
      <c r="M80" s="13">
        <f>+_xlfn.XLOOKUP(D80&amp;"-"&amp;E80,'[1]Listado Lotes'!$K$3:$K$385,'[1]Listado Lotes'!$E$3:$E$385)</f>
        <v>298.69</v>
      </c>
      <c r="N80" s="20" t="s">
        <v>24</v>
      </c>
      <c r="O80" s="21">
        <v>15000</v>
      </c>
      <c r="P80" s="22">
        <v>50.167224080267559</v>
      </c>
      <c r="Q80" s="23">
        <v>0.3</v>
      </c>
      <c r="R80" s="24">
        <v>0.01</v>
      </c>
      <c r="S80" s="25">
        <v>4500</v>
      </c>
      <c r="T80" s="25">
        <v>10500</v>
      </c>
      <c r="U80" s="26">
        <v>323.75</v>
      </c>
      <c r="V80" s="26">
        <v>280</v>
      </c>
      <c r="W80" s="18" t="s">
        <v>26</v>
      </c>
      <c r="X80" s="19"/>
      <c r="Y80" s="19"/>
      <c r="Z80" s="19"/>
      <c r="AA80" s="19"/>
    </row>
    <row r="81" spans="1:27" ht="14.25" customHeight="1" x14ac:dyDescent="0.3">
      <c r="A81" s="11">
        <v>80</v>
      </c>
      <c r="B81" s="10">
        <v>5</v>
      </c>
      <c r="C81" s="11" t="s">
        <v>23</v>
      </c>
      <c r="D81" s="10">
        <v>3</v>
      </c>
      <c r="E81" s="10">
        <v>22</v>
      </c>
      <c r="F81" s="10">
        <v>199521</v>
      </c>
      <c r="G81" s="10">
        <v>46740</v>
      </c>
      <c r="H81" s="10">
        <v>442</v>
      </c>
      <c r="I81" s="10">
        <v>74456</v>
      </c>
      <c r="J81" s="10">
        <v>24491974</v>
      </c>
      <c r="K81" s="10">
        <v>89700</v>
      </c>
      <c r="L81" s="12">
        <v>2227878</v>
      </c>
      <c r="M81" s="13">
        <f>+_xlfn.XLOOKUP(D81&amp;"-"&amp;E81,'[1]Listado Lotes'!$K$3:$K$385,'[1]Listado Lotes'!$E$3:$E$385)</f>
        <v>298.69</v>
      </c>
      <c r="N81" s="20" t="s">
        <v>24</v>
      </c>
      <c r="O81" s="21">
        <v>15000</v>
      </c>
      <c r="P81" s="22">
        <v>50.167224080267559</v>
      </c>
      <c r="Q81" s="23">
        <v>0.3</v>
      </c>
      <c r="R81" s="24">
        <v>0.01</v>
      </c>
      <c r="S81" s="25">
        <v>4500</v>
      </c>
      <c r="T81" s="25">
        <v>10500</v>
      </c>
      <c r="U81" s="26">
        <v>323.75</v>
      </c>
      <c r="V81" s="26">
        <v>280</v>
      </c>
      <c r="W81" s="18" t="s">
        <v>26</v>
      </c>
      <c r="X81" s="19"/>
      <c r="Y81" s="19"/>
      <c r="Z81" s="19"/>
      <c r="AA81" s="19"/>
    </row>
    <row r="82" spans="1:27" ht="14.25" customHeight="1" x14ac:dyDescent="0.3">
      <c r="A82" s="11">
        <v>81</v>
      </c>
      <c r="B82" s="10">
        <v>5</v>
      </c>
      <c r="C82" s="11" t="s">
        <v>23</v>
      </c>
      <c r="D82" s="10">
        <v>3</v>
      </c>
      <c r="E82" s="10">
        <v>23</v>
      </c>
      <c r="F82" s="10">
        <v>199522</v>
      </c>
      <c r="G82" s="10">
        <v>46741</v>
      </c>
      <c r="H82" s="10">
        <v>442</v>
      </c>
      <c r="I82" s="10">
        <v>74457</v>
      </c>
      <c r="J82" s="10">
        <v>24491975</v>
      </c>
      <c r="K82" s="10">
        <v>89700</v>
      </c>
      <c r="L82" s="12">
        <v>2227878</v>
      </c>
      <c r="M82" s="13">
        <f>+_xlfn.XLOOKUP(D82&amp;"-"&amp;E82,'[1]Listado Lotes'!$K$3:$K$385,'[1]Listado Lotes'!$E$3:$E$385)</f>
        <v>298.69</v>
      </c>
      <c r="N82" s="20" t="s">
        <v>24</v>
      </c>
      <c r="O82" s="21">
        <v>15000</v>
      </c>
      <c r="P82" s="22">
        <v>50.167224080267559</v>
      </c>
      <c r="Q82" s="23">
        <v>0.3</v>
      </c>
      <c r="R82" s="24">
        <v>0.01</v>
      </c>
      <c r="S82" s="25">
        <v>4500</v>
      </c>
      <c r="T82" s="25">
        <v>10500</v>
      </c>
      <c r="U82" s="26">
        <v>323.75</v>
      </c>
      <c r="V82" s="26">
        <v>280</v>
      </c>
      <c r="W82" s="18" t="s">
        <v>26</v>
      </c>
      <c r="X82" s="19"/>
      <c r="Y82" s="19"/>
      <c r="Z82" s="19"/>
      <c r="AA82" s="19"/>
    </row>
    <row r="83" spans="1:27" ht="14.25" customHeight="1" x14ac:dyDescent="0.3">
      <c r="A83" s="11">
        <v>82</v>
      </c>
      <c r="B83" s="10">
        <v>5</v>
      </c>
      <c r="C83" s="11" t="s">
        <v>23</v>
      </c>
      <c r="D83" s="10">
        <v>3</v>
      </c>
      <c r="E83" s="10">
        <v>24</v>
      </c>
      <c r="F83" s="10">
        <v>199523</v>
      </c>
      <c r="G83" s="10">
        <v>46742</v>
      </c>
      <c r="H83" s="10">
        <v>442</v>
      </c>
      <c r="I83" s="10">
        <v>74458</v>
      </c>
      <c r="J83" s="10">
        <v>24491976</v>
      </c>
      <c r="K83" s="10">
        <v>89700</v>
      </c>
      <c r="L83" s="12">
        <v>2227878</v>
      </c>
      <c r="M83" s="13">
        <f>+_xlfn.XLOOKUP(D83&amp;"-"&amp;E83,'[1]Listado Lotes'!$K$3:$K$385,'[1]Listado Lotes'!$E$3:$E$385)</f>
        <v>298.69</v>
      </c>
      <c r="N83" s="20" t="s">
        <v>24</v>
      </c>
      <c r="O83" s="21">
        <v>15000</v>
      </c>
      <c r="P83" s="22">
        <v>50.167224080267559</v>
      </c>
      <c r="Q83" s="23">
        <v>0.3</v>
      </c>
      <c r="R83" s="24">
        <v>0.01</v>
      </c>
      <c r="S83" s="25">
        <v>4500</v>
      </c>
      <c r="T83" s="25">
        <v>10500</v>
      </c>
      <c r="U83" s="26">
        <v>323.75</v>
      </c>
      <c r="V83" s="26">
        <v>280</v>
      </c>
      <c r="W83" s="18" t="s">
        <v>26</v>
      </c>
      <c r="X83" s="19"/>
      <c r="Y83" s="19"/>
      <c r="Z83" s="19"/>
      <c r="AA83" s="19"/>
    </row>
    <row r="84" spans="1:27" ht="14.25" customHeight="1" x14ac:dyDescent="0.3">
      <c r="A84" s="11">
        <v>83</v>
      </c>
      <c r="B84" s="10">
        <v>5</v>
      </c>
      <c r="C84" s="11" t="s">
        <v>23</v>
      </c>
      <c r="D84" s="10">
        <v>3</v>
      </c>
      <c r="E84" s="10">
        <v>25</v>
      </c>
      <c r="F84" s="10">
        <v>199524</v>
      </c>
      <c r="G84" s="10">
        <v>46743</v>
      </c>
      <c r="H84" s="10">
        <v>442</v>
      </c>
      <c r="I84" s="10">
        <v>74459</v>
      </c>
      <c r="J84" s="10">
        <v>24491977</v>
      </c>
      <c r="K84" s="10">
        <v>89700</v>
      </c>
      <c r="L84" s="12">
        <v>2227878</v>
      </c>
      <c r="M84" s="13">
        <f>+_xlfn.XLOOKUP(D84&amp;"-"&amp;E84,'[1]Listado Lotes'!$K$3:$K$385,'[1]Listado Lotes'!$E$3:$E$385)</f>
        <v>298.69</v>
      </c>
      <c r="N84" s="20" t="s">
        <v>24</v>
      </c>
      <c r="O84" s="21">
        <v>15000</v>
      </c>
      <c r="P84" s="22">
        <v>50.167224080267559</v>
      </c>
      <c r="Q84" s="23">
        <v>0.3</v>
      </c>
      <c r="R84" s="24">
        <v>0.01</v>
      </c>
      <c r="S84" s="25">
        <v>4500</v>
      </c>
      <c r="T84" s="25">
        <v>10500</v>
      </c>
      <c r="U84" s="26">
        <v>323.75</v>
      </c>
      <c r="V84" s="26">
        <v>280</v>
      </c>
      <c r="W84" s="18" t="s">
        <v>26</v>
      </c>
      <c r="X84" s="19"/>
      <c r="Y84" s="19"/>
      <c r="Z84" s="19"/>
      <c r="AA84" s="19"/>
    </row>
    <row r="85" spans="1:27" ht="14.25" customHeight="1" x14ac:dyDescent="0.3">
      <c r="A85" s="11">
        <v>84</v>
      </c>
      <c r="B85" s="10">
        <v>5</v>
      </c>
      <c r="C85" s="11" t="s">
        <v>23</v>
      </c>
      <c r="D85" s="10">
        <v>3</v>
      </c>
      <c r="E85" s="10">
        <v>26</v>
      </c>
      <c r="F85" s="10">
        <v>199525</v>
      </c>
      <c r="G85" s="10">
        <v>46744</v>
      </c>
      <c r="H85" s="10">
        <v>442</v>
      </c>
      <c r="I85" s="10">
        <v>74460</v>
      </c>
      <c r="J85" s="10">
        <v>24491978</v>
      </c>
      <c r="K85" s="10">
        <v>89700</v>
      </c>
      <c r="L85" s="12">
        <v>2227878</v>
      </c>
      <c r="M85" s="13">
        <f>+_xlfn.XLOOKUP(D85&amp;"-"&amp;E85,'[1]Listado Lotes'!$K$3:$K$385,'[1]Listado Lotes'!$E$3:$E$385)</f>
        <v>298.69</v>
      </c>
      <c r="N85" s="20" t="s">
        <v>24</v>
      </c>
      <c r="O85" s="21">
        <v>15000</v>
      </c>
      <c r="P85" s="22">
        <v>50.167224080267559</v>
      </c>
      <c r="Q85" s="23">
        <v>0.3</v>
      </c>
      <c r="R85" s="24">
        <v>0.01</v>
      </c>
      <c r="S85" s="25">
        <v>4500</v>
      </c>
      <c r="T85" s="25">
        <v>10500</v>
      </c>
      <c r="U85" s="26">
        <v>323.75</v>
      </c>
      <c r="V85" s="26">
        <v>280</v>
      </c>
      <c r="W85" s="18" t="s">
        <v>26</v>
      </c>
      <c r="X85" s="19"/>
      <c r="Y85" s="19"/>
      <c r="Z85" s="19"/>
      <c r="AA85" s="19"/>
    </row>
    <row r="86" spans="1:27" ht="14.25" customHeight="1" x14ac:dyDescent="0.3">
      <c r="A86" s="11">
        <v>85</v>
      </c>
      <c r="B86" s="10">
        <v>5</v>
      </c>
      <c r="C86" s="11" t="s">
        <v>23</v>
      </c>
      <c r="D86" s="10">
        <v>3</v>
      </c>
      <c r="E86" s="10">
        <v>27</v>
      </c>
      <c r="F86" s="10">
        <v>199526</v>
      </c>
      <c r="G86" s="10">
        <v>46745</v>
      </c>
      <c r="H86" s="10">
        <v>442</v>
      </c>
      <c r="I86" s="10">
        <v>74461</v>
      </c>
      <c r="J86" s="10">
        <v>24491979</v>
      </c>
      <c r="K86" s="10">
        <v>89700</v>
      </c>
      <c r="L86" s="12">
        <v>2227878</v>
      </c>
      <c r="M86" s="13">
        <f>+_xlfn.XLOOKUP(D86&amp;"-"&amp;E86,'[1]Listado Lotes'!$K$3:$K$385,'[1]Listado Lotes'!$E$3:$E$385)</f>
        <v>298.69</v>
      </c>
      <c r="N86" s="20" t="s">
        <v>24</v>
      </c>
      <c r="O86" s="21">
        <v>15000</v>
      </c>
      <c r="P86" s="22">
        <v>50.167224080267559</v>
      </c>
      <c r="Q86" s="23">
        <v>0.3</v>
      </c>
      <c r="R86" s="24">
        <v>0.01</v>
      </c>
      <c r="S86" s="25">
        <v>4500</v>
      </c>
      <c r="T86" s="25">
        <v>10500</v>
      </c>
      <c r="U86" s="26">
        <v>323.75</v>
      </c>
      <c r="V86" s="26">
        <v>280</v>
      </c>
      <c r="W86" s="18" t="s">
        <v>26</v>
      </c>
      <c r="X86" s="19"/>
      <c r="Y86" s="19"/>
      <c r="Z86" s="19"/>
      <c r="AA86" s="19"/>
    </row>
    <row r="87" spans="1:27" ht="14.25" customHeight="1" x14ac:dyDescent="0.3">
      <c r="A87" s="11">
        <v>86</v>
      </c>
      <c r="B87" s="10">
        <v>5</v>
      </c>
      <c r="C87" s="11" t="s">
        <v>23</v>
      </c>
      <c r="D87" s="10">
        <v>3</v>
      </c>
      <c r="E87" s="10">
        <v>28</v>
      </c>
      <c r="F87" s="10">
        <v>199527</v>
      </c>
      <c r="G87" s="10">
        <v>46746</v>
      </c>
      <c r="H87" s="10">
        <v>442</v>
      </c>
      <c r="I87" s="10">
        <v>74462</v>
      </c>
      <c r="J87" s="10">
        <v>24491980</v>
      </c>
      <c r="K87" s="10">
        <v>89700</v>
      </c>
      <c r="L87" s="12">
        <v>2227878</v>
      </c>
      <c r="M87" s="13">
        <f>+_xlfn.XLOOKUP(D87&amp;"-"&amp;E87,'[1]Listado Lotes'!$K$3:$K$385,'[1]Listado Lotes'!$E$3:$E$385)</f>
        <v>298.69</v>
      </c>
      <c r="N87" s="20" t="s">
        <v>24</v>
      </c>
      <c r="O87" s="21">
        <v>15000</v>
      </c>
      <c r="P87" s="22">
        <v>50.167224080267559</v>
      </c>
      <c r="Q87" s="23">
        <v>0.3</v>
      </c>
      <c r="R87" s="24">
        <v>0.01</v>
      </c>
      <c r="S87" s="25">
        <v>4500</v>
      </c>
      <c r="T87" s="25">
        <v>10500</v>
      </c>
      <c r="U87" s="26">
        <v>323.75</v>
      </c>
      <c r="V87" s="26">
        <v>280</v>
      </c>
      <c r="W87" s="18" t="s">
        <v>26</v>
      </c>
      <c r="X87" s="19"/>
      <c r="Y87" s="19"/>
      <c r="Z87" s="19"/>
      <c r="AA87" s="19"/>
    </row>
    <row r="88" spans="1:27" ht="14.25" customHeight="1" x14ac:dyDescent="0.3">
      <c r="A88" s="11">
        <v>87</v>
      </c>
      <c r="B88" s="10">
        <v>5</v>
      </c>
      <c r="C88" s="11" t="s">
        <v>23</v>
      </c>
      <c r="D88" s="10">
        <v>31</v>
      </c>
      <c r="E88" s="10">
        <v>1</v>
      </c>
      <c r="F88" s="10">
        <v>199558</v>
      </c>
      <c r="G88" s="10">
        <v>46815</v>
      </c>
      <c r="H88" s="10">
        <v>442</v>
      </c>
      <c r="I88" s="10">
        <v>74484</v>
      </c>
      <c r="J88" s="10">
        <v>24492167</v>
      </c>
      <c r="K88" s="10">
        <v>99099</v>
      </c>
      <c r="L88" s="12">
        <v>2461336</v>
      </c>
      <c r="M88" s="13">
        <f>+_xlfn.XLOOKUP(D88&amp;"-"&amp;E88,'[1]Listado Lotes'!$K$3:$K$385,'[1]Listado Lotes'!$E$3:$E$385)</f>
        <v>230.52</v>
      </c>
      <c r="N88" s="28" t="s">
        <v>233</v>
      </c>
      <c r="O88" s="14" t="e">
        <v>#N/A</v>
      </c>
      <c r="P88" s="15" t="e">
        <v>#N/A</v>
      </c>
      <c r="Q88" s="16" t="e">
        <v>#N/A</v>
      </c>
      <c r="R88" s="16" t="e">
        <v>#N/A</v>
      </c>
      <c r="S88" s="17" t="e">
        <v>#N/A</v>
      </c>
      <c r="T88" s="17" t="e">
        <v>#N/A</v>
      </c>
      <c r="U88" s="18"/>
      <c r="V88" s="18"/>
      <c r="W88" s="18" t="e">
        <v>#N/A</v>
      </c>
      <c r="X88" s="19"/>
      <c r="Y88" s="19"/>
      <c r="Z88" s="19"/>
      <c r="AA88" s="19"/>
    </row>
    <row r="89" spans="1:27" ht="14.25" customHeight="1" x14ac:dyDescent="0.3">
      <c r="A89" s="11">
        <v>88</v>
      </c>
      <c r="B89" s="10">
        <v>5</v>
      </c>
      <c r="C89" s="11" t="s">
        <v>23</v>
      </c>
      <c r="D89" s="10">
        <v>31</v>
      </c>
      <c r="E89" s="10">
        <v>2</v>
      </c>
      <c r="F89" s="10">
        <v>199559</v>
      </c>
      <c r="G89" s="10">
        <v>46816</v>
      </c>
      <c r="H89" s="10">
        <v>442</v>
      </c>
      <c r="I89" s="10">
        <v>74485</v>
      </c>
      <c r="J89" s="10">
        <v>24492170</v>
      </c>
      <c r="K89" s="10">
        <v>75114</v>
      </c>
      <c r="L89" s="12">
        <v>1865606</v>
      </c>
      <c r="M89" s="13">
        <f>+_xlfn.XLOOKUP(D89&amp;"-"&amp;E89,'[1]Listado Lotes'!$K$3:$K$385,'[1]Listado Lotes'!$E$3:$E$385)</f>
        <v>233.98</v>
      </c>
      <c r="N89" s="28" t="s">
        <v>233</v>
      </c>
      <c r="O89" s="14" t="e">
        <v>#N/A</v>
      </c>
      <c r="P89" s="15" t="e">
        <v>#N/A</v>
      </c>
      <c r="Q89" s="16" t="e">
        <v>#N/A</v>
      </c>
      <c r="R89" s="16" t="e">
        <v>#N/A</v>
      </c>
      <c r="S89" s="17" t="e">
        <v>#N/A</v>
      </c>
      <c r="T89" s="17" t="e">
        <v>#N/A</v>
      </c>
      <c r="U89" s="18"/>
      <c r="V89" s="18"/>
      <c r="W89" s="18" t="e">
        <v>#N/A</v>
      </c>
      <c r="X89" s="19"/>
      <c r="Y89" s="19"/>
      <c r="Z89" s="19"/>
      <c r="AA89" s="19"/>
    </row>
    <row r="90" spans="1:27" ht="14.25" customHeight="1" x14ac:dyDescent="0.3">
      <c r="A90" s="11">
        <v>89</v>
      </c>
      <c r="B90" s="10">
        <v>5</v>
      </c>
      <c r="C90" s="11" t="s">
        <v>23</v>
      </c>
      <c r="D90" s="10">
        <v>31</v>
      </c>
      <c r="E90" s="10">
        <v>3</v>
      </c>
      <c r="F90" s="10">
        <v>199560</v>
      </c>
      <c r="G90" s="10">
        <v>46817</v>
      </c>
      <c r="H90" s="10">
        <v>442</v>
      </c>
      <c r="I90" s="10">
        <v>74486</v>
      </c>
      <c r="J90" s="10">
        <v>24492173</v>
      </c>
      <c r="K90" s="10">
        <v>75114</v>
      </c>
      <c r="L90" s="12">
        <v>1865606</v>
      </c>
      <c r="M90" s="13">
        <f>+_xlfn.XLOOKUP(D90&amp;"-"&amp;E90,'[1]Listado Lotes'!$K$3:$K$385,'[1]Listado Lotes'!$E$3:$E$385)</f>
        <v>233.98</v>
      </c>
      <c r="N90" s="28" t="s">
        <v>233</v>
      </c>
      <c r="O90" s="14" t="e">
        <v>#N/A</v>
      </c>
      <c r="P90" s="15" t="e">
        <v>#N/A</v>
      </c>
      <c r="Q90" s="16" t="e">
        <v>#N/A</v>
      </c>
      <c r="R90" s="16" t="e">
        <v>#N/A</v>
      </c>
      <c r="S90" s="17" t="e">
        <v>#N/A</v>
      </c>
      <c r="T90" s="17" t="e">
        <v>#N/A</v>
      </c>
      <c r="U90" s="18"/>
      <c r="V90" s="18"/>
      <c r="W90" s="18" t="e">
        <v>#N/A</v>
      </c>
      <c r="X90" s="19"/>
      <c r="Y90" s="19"/>
      <c r="Z90" s="19"/>
      <c r="AA90" s="19"/>
    </row>
    <row r="91" spans="1:27" ht="14.25" customHeight="1" x14ac:dyDescent="0.3">
      <c r="A91" s="11">
        <v>90</v>
      </c>
      <c r="B91" s="10">
        <v>5</v>
      </c>
      <c r="C91" s="11" t="s">
        <v>23</v>
      </c>
      <c r="D91" s="10">
        <v>31</v>
      </c>
      <c r="E91" s="10">
        <v>4</v>
      </c>
      <c r="F91" s="10">
        <v>199561</v>
      </c>
      <c r="G91" s="10">
        <v>46818</v>
      </c>
      <c r="H91" s="10">
        <v>442</v>
      </c>
      <c r="I91" s="10">
        <v>74487</v>
      </c>
      <c r="J91" s="10">
        <v>24492175</v>
      </c>
      <c r="K91" s="10">
        <v>75114</v>
      </c>
      <c r="L91" s="12">
        <v>1865606</v>
      </c>
      <c r="M91" s="13">
        <f>+_xlfn.XLOOKUP(D91&amp;"-"&amp;E91,'[1]Listado Lotes'!$K$3:$K$385,'[1]Listado Lotes'!$E$3:$E$385)</f>
        <v>233.98</v>
      </c>
      <c r="N91" s="28" t="s">
        <v>233</v>
      </c>
      <c r="O91" s="14" t="e">
        <v>#N/A</v>
      </c>
      <c r="P91" s="15" t="e">
        <v>#N/A</v>
      </c>
      <c r="Q91" s="16" t="e">
        <v>#N/A</v>
      </c>
      <c r="R91" s="16" t="e">
        <v>#N/A</v>
      </c>
      <c r="S91" s="17" t="e">
        <v>#N/A</v>
      </c>
      <c r="T91" s="17" t="e">
        <v>#N/A</v>
      </c>
      <c r="U91" s="18"/>
      <c r="V91" s="18"/>
      <c r="W91" s="18" t="e">
        <v>#N/A</v>
      </c>
      <c r="X91" s="19"/>
      <c r="Y91" s="19"/>
      <c r="Z91" s="19"/>
      <c r="AA91" s="19"/>
    </row>
    <row r="92" spans="1:27" ht="14.25" customHeight="1" x14ac:dyDescent="0.3">
      <c r="A92" s="11">
        <v>91</v>
      </c>
      <c r="B92" s="10">
        <v>5</v>
      </c>
      <c r="C92" s="11" t="s">
        <v>23</v>
      </c>
      <c r="D92" s="10">
        <v>31</v>
      </c>
      <c r="E92" s="10">
        <v>5</v>
      </c>
      <c r="F92" s="10">
        <v>199562</v>
      </c>
      <c r="G92" s="10">
        <v>46819</v>
      </c>
      <c r="H92" s="10">
        <v>442</v>
      </c>
      <c r="I92" s="10">
        <v>74488</v>
      </c>
      <c r="J92" s="10">
        <v>24492178</v>
      </c>
      <c r="K92" s="10">
        <v>75114</v>
      </c>
      <c r="L92" s="12">
        <v>1865606</v>
      </c>
      <c r="M92" s="13">
        <f>+_xlfn.XLOOKUP(D92&amp;"-"&amp;E92,'[1]Listado Lotes'!$K$3:$K$385,'[1]Listado Lotes'!$E$3:$E$385)</f>
        <v>233.98</v>
      </c>
      <c r="N92" s="28" t="s">
        <v>233</v>
      </c>
      <c r="O92" s="14" t="e">
        <v>#N/A</v>
      </c>
      <c r="P92" s="15" t="e">
        <v>#N/A</v>
      </c>
      <c r="Q92" s="16" t="e">
        <v>#N/A</v>
      </c>
      <c r="R92" s="16" t="e">
        <v>#N/A</v>
      </c>
      <c r="S92" s="17" t="e">
        <v>#N/A</v>
      </c>
      <c r="T92" s="17" t="e">
        <v>#N/A</v>
      </c>
      <c r="U92" s="18"/>
      <c r="V92" s="18"/>
      <c r="W92" s="18" t="e">
        <v>#N/A</v>
      </c>
      <c r="X92" s="19"/>
      <c r="Y92" s="19"/>
      <c r="Z92" s="19"/>
      <c r="AA92" s="19"/>
    </row>
    <row r="93" spans="1:27" ht="14.25" customHeight="1" x14ac:dyDescent="0.3">
      <c r="A93" s="11">
        <v>92</v>
      </c>
      <c r="B93" s="10">
        <v>5</v>
      </c>
      <c r="C93" s="11" t="s">
        <v>23</v>
      </c>
      <c r="D93" s="10">
        <v>31</v>
      </c>
      <c r="E93" s="10">
        <v>6</v>
      </c>
      <c r="F93" s="10">
        <v>199563</v>
      </c>
      <c r="G93" s="10">
        <v>46820</v>
      </c>
      <c r="H93" s="10">
        <v>442</v>
      </c>
      <c r="I93" s="10">
        <v>74489</v>
      </c>
      <c r="J93" s="10">
        <v>24492180</v>
      </c>
      <c r="K93" s="10">
        <v>75114</v>
      </c>
      <c r="L93" s="12">
        <v>1865606</v>
      </c>
      <c r="M93" s="13">
        <f>+_xlfn.XLOOKUP(D93&amp;"-"&amp;E93,'[1]Listado Lotes'!$K$3:$K$385,'[1]Listado Lotes'!$E$3:$E$385)</f>
        <v>233.98</v>
      </c>
      <c r="N93" s="28" t="s">
        <v>233</v>
      </c>
      <c r="O93" s="14" t="e">
        <v>#N/A</v>
      </c>
      <c r="P93" s="15" t="e">
        <v>#N/A</v>
      </c>
      <c r="Q93" s="16" t="e">
        <v>#N/A</v>
      </c>
      <c r="R93" s="16" t="e">
        <v>#N/A</v>
      </c>
      <c r="S93" s="17" t="e">
        <v>#N/A</v>
      </c>
      <c r="T93" s="17" t="e">
        <v>#N/A</v>
      </c>
      <c r="U93" s="18"/>
      <c r="V93" s="18"/>
      <c r="W93" s="18" t="e">
        <v>#N/A</v>
      </c>
      <c r="X93" s="19"/>
      <c r="Y93" s="19"/>
      <c r="Z93" s="19"/>
      <c r="AA93" s="19"/>
    </row>
    <row r="94" spans="1:27" ht="14.25" customHeight="1" x14ac:dyDescent="0.3">
      <c r="A94" s="11">
        <v>93</v>
      </c>
      <c r="B94" s="10">
        <v>5</v>
      </c>
      <c r="C94" s="11" t="s">
        <v>23</v>
      </c>
      <c r="D94" s="10">
        <v>31</v>
      </c>
      <c r="E94" s="10">
        <v>10</v>
      </c>
      <c r="F94" s="10">
        <v>199567</v>
      </c>
      <c r="G94" s="10">
        <v>46824</v>
      </c>
      <c r="H94" s="10">
        <v>442</v>
      </c>
      <c r="I94" s="10">
        <v>74490</v>
      </c>
      <c r="J94" s="10">
        <v>24492190</v>
      </c>
      <c r="K94" s="10">
        <v>107460</v>
      </c>
      <c r="L94" s="12">
        <v>2668984</v>
      </c>
      <c r="M94" s="13">
        <f>+_xlfn.XLOOKUP(D94&amp;"-"&amp;E94,'[1]Listado Lotes'!$K$3:$K$385,'[1]Listado Lotes'!$E$3:$E$385)</f>
        <v>398.26</v>
      </c>
      <c r="N94" s="28" t="s">
        <v>233</v>
      </c>
      <c r="O94" s="14" t="e">
        <v>#N/A</v>
      </c>
      <c r="P94" s="15" t="e">
        <v>#N/A</v>
      </c>
      <c r="Q94" s="16" t="e">
        <v>#N/A</v>
      </c>
      <c r="R94" s="16" t="e">
        <v>#N/A</v>
      </c>
      <c r="S94" s="17" t="e">
        <v>#N/A</v>
      </c>
      <c r="T94" s="17" t="e">
        <v>#N/A</v>
      </c>
      <c r="U94" s="18"/>
      <c r="V94" s="18"/>
      <c r="W94" s="18" t="e">
        <v>#N/A</v>
      </c>
      <c r="X94" s="19"/>
      <c r="Y94" s="19"/>
      <c r="Z94" s="19"/>
      <c r="AA94" s="19"/>
    </row>
    <row r="95" spans="1:27" ht="14.25" customHeight="1" x14ac:dyDescent="0.3">
      <c r="A95" s="11">
        <v>94</v>
      </c>
      <c r="B95" s="10">
        <v>5</v>
      </c>
      <c r="C95" s="11" t="s">
        <v>23</v>
      </c>
      <c r="D95" s="10">
        <v>31</v>
      </c>
      <c r="E95" s="10">
        <v>11</v>
      </c>
      <c r="F95" s="10">
        <v>199568</v>
      </c>
      <c r="G95" s="10">
        <v>46825</v>
      </c>
      <c r="H95" s="10">
        <v>442</v>
      </c>
      <c r="I95" s="10">
        <v>74491</v>
      </c>
      <c r="J95" s="10">
        <v>24492194</v>
      </c>
      <c r="K95" s="10">
        <v>107460</v>
      </c>
      <c r="L95" s="12">
        <v>2668984</v>
      </c>
      <c r="M95" s="13">
        <f>+_xlfn.XLOOKUP(D95&amp;"-"&amp;E95,'[1]Listado Lotes'!$K$3:$K$385,'[1]Listado Lotes'!$E$3:$E$385)</f>
        <v>398.26</v>
      </c>
      <c r="N95" s="28" t="s">
        <v>233</v>
      </c>
      <c r="O95" s="14" t="e">
        <v>#N/A</v>
      </c>
      <c r="P95" s="15" t="e">
        <v>#N/A</v>
      </c>
      <c r="Q95" s="16" t="e">
        <v>#N/A</v>
      </c>
      <c r="R95" s="16" t="e">
        <v>#N/A</v>
      </c>
      <c r="S95" s="17" t="e">
        <v>#N/A</v>
      </c>
      <c r="T95" s="17" t="e">
        <v>#N/A</v>
      </c>
      <c r="U95" s="18"/>
      <c r="V95" s="18"/>
      <c r="W95" s="18" t="e">
        <v>#N/A</v>
      </c>
      <c r="X95" s="19"/>
      <c r="Y95" s="19"/>
      <c r="Z95" s="19"/>
      <c r="AA95" s="19"/>
    </row>
    <row r="96" spans="1:27" ht="14.25" customHeight="1" x14ac:dyDescent="0.3">
      <c r="A96" s="11">
        <v>95</v>
      </c>
      <c r="B96" s="10">
        <v>5</v>
      </c>
      <c r="C96" s="11" t="s">
        <v>23</v>
      </c>
      <c r="D96" s="10">
        <v>31</v>
      </c>
      <c r="E96" s="10">
        <v>12</v>
      </c>
      <c r="F96" s="10">
        <v>199569</v>
      </c>
      <c r="G96" s="10">
        <v>46826</v>
      </c>
      <c r="H96" s="10">
        <v>442</v>
      </c>
      <c r="I96" s="10">
        <v>74492</v>
      </c>
      <c r="J96" s="10">
        <v>24492197</v>
      </c>
      <c r="K96" s="10">
        <v>107460</v>
      </c>
      <c r="L96" s="12">
        <v>2668984</v>
      </c>
      <c r="M96" s="13">
        <f>+_xlfn.XLOOKUP(D96&amp;"-"&amp;E96,'[1]Listado Lotes'!$K$3:$K$385,'[1]Listado Lotes'!$E$3:$E$385)</f>
        <v>398.26</v>
      </c>
      <c r="N96" s="28" t="s">
        <v>233</v>
      </c>
      <c r="O96" s="14" t="e">
        <v>#N/A</v>
      </c>
      <c r="P96" s="15" t="e">
        <v>#N/A</v>
      </c>
      <c r="Q96" s="16" t="e">
        <v>#N/A</v>
      </c>
      <c r="R96" s="16" t="e">
        <v>#N/A</v>
      </c>
      <c r="S96" s="17" t="e">
        <v>#N/A</v>
      </c>
      <c r="T96" s="17" t="e">
        <v>#N/A</v>
      </c>
      <c r="U96" s="18"/>
      <c r="V96" s="18"/>
      <c r="W96" s="18" t="e">
        <v>#N/A</v>
      </c>
      <c r="X96" s="19"/>
      <c r="Y96" s="19"/>
      <c r="Z96" s="19"/>
      <c r="AA96" s="19"/>
    </row>
    <row r="97" spans="1:27" ht="14.25" customHeight="1" x14ac:dyDescent="0.3">
      <c r="A97" s="11">
        <v>96</v>
      </c>
      <c r="B97" s="10">
        <v>5</v>
      </c>
      <c r="C97" s="11" t="s">
        <v>23</v>
      </c>
      <c r="D97" s="10">
        <v>31</v>
      </c>
      <c r="E97" s="10">
        <v>13</v>
      </c>
      <c r="F97" s="10">
        <v>199570</v>
      </c>
      <c r="G97" s="10">
        <v>46827</v>
      </c>
      <c r="H97" s="10">
        <v>442</v>
      </c>
      <c r="I97" s="10">
        <v>74493</v>
      </c>
      <c r="J97" s="10">
        <v>24492202</v>
      </c>
      <c r="K97" s="10">
        <v>107460</v>
      </c>
      <c r="L97" s="12">
        <v>2668984</v>
      </c>
      <c r="M97" s="13">
        <f>+_xlfn.XLOOKUP(D97&amp;"-"&amp;E97,'[1]Listado Lotes'!$K$3:$K$385,'[1]Listado Lotes'!$E$3:$E$385)</f>
        <v>398.26</v>
      </c>
      <c r="N97" s="28" t="s">
        <v>233</v>
      </c>
      <c r="O97" s="14" t="e">
        <v>#N/A</v>
      </c>
      <c r="P97" s="15" t="e">
        <v>#N/A</v>
      </c>
      <c r="Q97" s="16" t="e">
        <v>#N/A</v>
      </c>
      <c r="R97" s="16" t="e">
        <v>#N/A</v>
      </c>
      <c r="S97" s="17" t="e">
        <v>#N/A</v>
      </c>
      <c r="T97" s="17" t="e">
        <v>#N/A</v>
      </c>
      <c r="U97" s="18"/>
      <c r="V97" s="18"/>
      <c r="W97" s="18" t="e">
        <v>#N/A</v>
      </c>
      <c r="X97" s="19"/>
      <c r="Y97" s="19"/>
      <c r="Z97" s="19"/>
      <c r="AA97" s="19"/>
    </row>
    <row r="98" spans="1:27" ht="14.25" customHeight="1" x14ac:dyDescent="0.3">
      <c r="A98" s="11">
        <v>97</v>
      </c>
      <c r="B98" s="10">
        <v>5</v>
      </c>
      <c r="C98" s="11" t="s">
        <v>23</v>
      </c>
      <c r="D98" s="10">
        <v>31</v>
      </c>
      <c r="E98" s="10">
        <v>14</v>
      </c>
      <c r="F98" s="10">
        <v>199571</v>
      </c>
      <c r="G98" s="10">
        <v>46828</v>
      </c>
      <c r="H98" s="10">
        <v>442</v>
      </c>
      <c r="I98" s="10">
        <v>74494</v>
      </c>
      <c r="J98" s="10">
        <v>24492204</v>
      </c>
      <c r="K98" s="10">
        <v>107460</v>
      </c>
      <c r="L98" s="12">
        <v>2668984</v>
      </c>
      <c r="M98" s="13">
        <f>+_xlfn.XLOOKUP(D98&amp;"-"&amp;E98,'[1]Listado Lotes'!$K$3:$K$385,'[1]Listado Lotes'!$E$3:$E$385)</f>
        <v>398.26</v>
      </c>
      <c r="N98" s="28" t="s">
        <v>233</v>
      </c>
      <c r="O98" s="14" t="e">
        <v>#N/A</v>
      </c>
      <c r="P98" s="15" t="e">
        <v>#N/A</v>
      </c>
      <c r="Q98" s="16" t="e">
        <v>#N/A</v>
      </c>
      <c r="R98" s="16" t="e">
        <v>#N/A</v>
      </c>
      <c r="S98" s="17" t="e">
        <v>#N/A</v>
      </c>
      <c r="T98" s="17" t="e">
        <v>#N/A</v>
      </c>
      <c r="U98" s="18"/>
      <c r="V98" s="18"/>
      <c r="W98" s="18" t="e">
        <v>#N/A</v>
      </c>
      <c r="X98" s="19"/>
      <c r="Y98" s="19"/>
      <c r="Z98" s="19"/>
      <c r="AA98" s="19"/>
    </row>
    <row r="99" spans="1:27" ht="14.25" customHeight="1" x14ac:dyDescent="0.3">
      <c r="A99" s="11">
        <v>98</v>
      </c>
      <c r="B99" s="10">
        <v>5</v>
      </c>
      <c r="C99" s="11" t="s">
        <v>23</v>
      </c>
      <c r="D99" s="10">
        <v>31</v>
      </c>
      <c r="E99" s="10">
        <v>15</v>
      </c>
      <c r="F99" s="10">
        <v>199572</v>
      </c>
      <c r="G99" s="10">
        <v>46829</v>
      </c>
      <c r="H99" s="10">
        <v>442</v>
      </c>
      <c r="I99" s="10">
        <v>74495</v>
      </c>
      <c r="J99" s="10">
        <v>24492205</v>
      </c>
      <c r="K99" s="10">
        <v>107460</v>
      </c>
      <c r="L99" s="12">
        <v>2668984</v>
      </c>
      <c r="M99" s="13">
        <f>+_xlfn.XLOOKUP(D99&amp;"-"&amp;E99,'[1]Listado Lotes'!$K$3:$K$385,'[1]Listado Lotes'!$E$3:$E$385)</f>
        <v>398.26</v>
      </c>
      <c r="N99" s="28" t="s">
        <v>233</v>
      </c>
      <c r="O99" s="14" t="e">
        <v>#N/A</v>
      </c>
      <c r="P99" s="15" t="e">
        <v>#N/A</v>
      </c>
      <c r="Q99" s="16" t="e">
        <v>#N/A</v>
      </c>
      <c r="R99" s="16" t="e">
        <v>#N/A</v>
      </c>
      <c r="S99" s="17" t="e">
        <v>#N/A</v>
      </c>
      <c r="T99" s="17" t="e">
        <v>#N/A</v>
      </c>
      <c r="U99" s="18"/>
      <c r="V99" s="18"/>
      <c r="W99" s="18" t="e">
        <v>#N/A</v>
      </c>
      <c r="X99" s="19"/>
      <c r="Y99" s="19"/>
      <c r="Z99" s="19"/>
      <c r="AA99" s="19"/>
    </row>
    <row r="100" spans="1:27" ht="14.25" customHeight="1" x14ac:dyDescent="0.3">
      <c r="A100" s="11">
        <v>99</v>
      </c>
      <c r="B100" s="10">
        <v>5</v>
      </c>
      <c r="C100" s="11" t="s">
        <v>23</v>
      </c>
      <c r="D100" s="10">
        <v>31</v>
      </c>
      <c r="E100" s="10">
        <v>16</v>
      </c>
      <c r="F100" s="10">
        <v>199573</v>
      </c>
      <c r="G100" s="10">
        <v>46830</v>
      </c>
      <c r="H100" s="10">
        <v>442</v>
      </c>
      <c r="I100" s="10">
        <v>74496</v>
      </c>
      <c r="J100" s="10">
        <v>24492206</v>
      </c>
      <c r="K100" s="10">
        <v>98241</v>
      </c>
      <c r="L100" s="12">
        <v>2440026</v>
      </c>
      <c r="M100" s="13">
        <f>+_xlfn.XLOOKUP(D100&amp;"-"&amp;E100,'[1]Listado Lotes'!$K$3:$K$385,'[1]Listado Lotes'!$E$3:$E$385)</f>
        <v>229.5</v>
      </c>
      <c r="N100" s="28" t="s">
        <v>233</v>
      </c>
      <c r="O100" s="14" t="e">
        <v>#N/A</v>
      </c>
      <c r="P100" s="15" t="e">
        <v>#N/A</v>
      </c>
      <c r="Q100" s="16" t="e">
        <v>#N/A</v>
      </c>
      <c r="R100" s="16" t="e">
        <v>#N/A</v>
      </c>
      <c r="S100" s="17" t="e">
        <v>#N/A</v>
      </c>
      <c r="T100" s="17" t="e">
        <v>#N/A</v>
      </c>
      <c r="U100" s="18"/>
      <c r="V100" s="18"/>
      <c r="W100" s="18" t="e">
        <v>#N/A</v>
      </c>
      <c r="X100" s="19"/>
      <c r="Y100" s="19"/>
      <c r="Z100" s="19"/>
      <c r="AA100" s="19"/>
    </row>
    <row r="101" spans="1:27" ht="14.25" customHeight="1" x14ac:dyDescent="0.3">
      <c r="A101" s="11">
        <v>100</v>
      </c>
      <c r="B101" s="10">
        <v>5</v>
      </c>
      <c r="C101" s="11" t="s">
        <v>23</v>
      </c>
      <c r="D101" s="10">
        <v>31</v>
      </c>
      <c r="E101" s="10">
        <v>17</v>
      </c>
      <c r="F101" s="10">
        <v>199574</v>
      </c>
      <c r="G101" s="10">
        <v>46831</v>
      </c>
      <c r="H101" s="10">
        <v>442</v>
      </c>
      <c r="I101" s="10">
        <v>74498</v>
      </c>
      <c r="J101" s="10">
        <v>24492207</v>
      </c>
      <c r="K101" s="10">
        <v>75114</v>
      </c>
      <c r="L101" s="12">
        <v>1865606</v>
      </c>
      <c r="M101" s="13">
        <f>+_xlfn.XLOOKUP(D101&amp;"-"&amp;E101,'[1]Listado Lotes'!$K$3:$K$385,'[1]Listado Lotes'!$E$3:$E$385)</f>
        <v>233.98</v>
      </c>
      <c r="N101" s="28" t="s">
        <v>233</v>
      </c>
      <c r="O101" s="14" t="e">
        <v>#N/A</v>
      </c>
      <c r="P101" s="15" t="e">
        <v>#N/A</v>
      </c>
      <c r="Q101" s="16" t="e">
        <v>#N/A</v>
      </c>
      <c r="R101" s="16" t="e">
        <v>#N/A</v>
      </c>
      <c r="S101" s="17" t="e">
        <v>#N/A</v>
      </c>
      <c r="T101" s="17" t="e">
        <v>#N/A</v>
      </c>
      <c r="U101" s="18"/>
      <c r="V101" s="18"/>
      <c r="W101" s="18" t="e">
        <v>#N/A</v>
      </c>
      <c r="X101" s="19"/>
      <c r="Y101" s="19"/>
      <c r="Z101" s="19"/>
      <c r="AA101" s="19"/>
    </row>
    <row r="102" spans="1:27" ht="14.25" customHeight="1" x14ac:dyDescent="0.3">
      <c r="A102" s="11">
        <v>101</v>
      </c>
      <c r="B102" s="10">
        <v>5</v>
      </c>
      <c r="C102" s="11" t="s">
        <v>23</v>
      </c>
      <c r="D102" s="10">
        <v>31</v>
      </c>
      <c r="E102" s="10">
        <v>18</v>
      </c>
      <c r="F102" s="10">
        <v>199575</v>
      </c>
      <c r="G102" s="10">
        <v>46832</v>
      </c>
      <c r="H102" s="10">
        <v>442</v>
      </c>
      <c r="I102" s="10">
        <v>74499</v>
      </c>
      <c r="J102" s="10">
        <v>24492212</v>
      </c>
      <c r="K102" s="10">
        <v>75114</v>
      </c>
      <c r="L102" s="12">
        <v>1865606</v>
      </c>
      <c r="M102" s="13">
        <f>+_xlfn.XLOOKUP(D102&amp;"-"&amp;E102,'[1]Listado Lotes'!$K$3:$K$385,'[1]Listado Lotes'!$E$3:$E$385)</f>
        <v>233.98</v>
      </c>
      <c r="N102" s="28" t="s">
        <v>233</v>
      </c>
      <c r="O102" s="14" t="e">
        <v>#N/A</v>
      </c>
      <c r="P102" s="15" t="e">
        <v>#N/A</v>
      </c>
      <c r="Q102" s="16" t="e">
        <v>#N/A</v>
      </c>
      <c r="R102" s="16" t="e">
        <v>#N/A</v>
      </c>
      <c r="S102" s="17" t="e">
        <v>#N/A</v>
      </c>
      <c r="T102" s="17" t="e">
        <v>#N/A</v>
      </c>
      <c r="U102" s="18"/>
      <c r="V102" s="18"/>
      <c r="W102" s="18" t="e">
        <v>#N/A</v>
      </c>
      <c r="X102" s="19"/>
      <c r="Y102" s="19"/>
      <c r="Z102" s="19"/>
      <c r="AA102" s="19"/>
    </row>
    <row r="103" spans="1:27" ht="14.25" customHeight="1" x14ac:dyDescent="0.3">
      <c r="A103" s="11">
        <v>102</v>
      </c>
      <c r="B103" s="10">
        <v>5</v>
      </c>
      <c r="C103" s="11" t="s">
        <v>23</v>
      </c>
      <c r="D103" s="10">
        <v>31</v>
      </c>
      <c r="E103" s="10">
        <v>19</v>
      </c>
      <c r="F103" s="10">
        <v>199576</v>
      </c>
      <c r="G103" s="10">
        <v>46833</v>
      </c>
      <c r="H103" s="10">
        <v>442</v>
      </c>
      <c r="I103" s="10">
        <v>74500</v>
      </c>
      <c r="J103" s="10">
        <v>24492213</v>
      </c>
      <c r="K103" s="10">
        <v>75114</v>
      </c>
      <c r="L103" s="12">
        <v>1865606</v>
      </c>
      <c r="M103" s="13">
        <f>+_xlfn.XLOOKUP(D103&amp;"-"&amp;E103,'[1]Listado Lotes'!$K$3:$K$385,'[1]Listado Lotes'!$E$3:$E$385)</f>
        <v>233.98</v>
      </c>
      <c r="N103" s="28" t="s">
        <v>233</v>
      </c>
      <c r="O103" s="14" t="e">
        <v>#N/A</v>
      </c>
      <c r="P103" s="15" t="e">
        <v>#N/A</v>
      </c>
      <c r="Q103" s="16" t="e">
        <v>#N/A</v>
      </c>
      <c r="R103" s="16" t="e">
        <v>#N/A</v>
      </c>
      <c r="S103" s="17" t="e">
        <v>#N/A</v>
      </c>
      <c r="T103" s="17" t="e">
        <v>#N/A</v>
      </c>
      <c r="U103" s="18"/>
      <c r="V103" s="18"/>
      <c r="W103" s="18" t="e">
        <v>#N/A</v>
      </c>
      <c r="X103" s="19"/>
      <c r="Y103" s="19"/>
      <c r="Z103" s="19"/>
      <c r="AA103" s="19"/>
    </row>
    <row r="104" spans="1:27" ht="14.25" customHeight="1" x14ac:dyDescent="0.3">
      <c r="A104" s="11">
        <v>103</v>
      </c>
      <c r="B104" s="10">
        <v>5</v>
      </c>
      <c r="C104" s="11" t="s">
        <v>23</v>
      </c>
      <c r="D104" s="10">
        <v>31</v>
      </c>
      <c r="E104" s="10">
        <v>20</v>
      </c>
      <c r="F104" s="10">
        <v>199577</v>
      </c>
      <c r="G104" s="10">
        <v>46834</v>
      </c>
      <c r="H104" s="10">
        <v>442</v>
      </c>
      <c r="I104" s="10">
        <v>74501</v>
      </c>
      <c r="J104" s="10">
        <v>24492114</v>
      </c>
      <c r="K104" s="10">
        <v>75114</v>
      </c>
      <c r="L104" s="12">
        <v>1865606</v>
      </c>
      <c r="M104" s="13">
        <f>+_xlfn.XLOOKUP(D104&amp;"-"&amp;E104,'[1]Listado Lotes'!$K$3:$K$385,'[1]Listado Lotes'!$E$3:$E$385)</f>
        <v>233.98</v>
      </c>
      <c r="N104" s="28" t="s">
        <v>233</v>
      </c>
      <c r="O104" s="14" t="e">
        <v>#N/A</v>
      </c>
      <c r="P104" s="15" t="e">
        <v>#N/A</v>
      </c>
      <c r="Q104" s="16" t="e">
        <v>#N/A</v>
      </c>
      <c r="R104" s="16" t="e">
        <v>#N/A</v>
      </c>
      <c r="S104" s="17" t="e">
        <v>#N/A</v>
      </c>
      <c r="T104" s="17" t="e">
        <v>#N/A</v>
      </c>
      <c r="U104" s="18"/>
      <c r="V104" s="18"/>
      <c r="W104" s="18" t="e">
        <v>#N/A</v>
      </c>
      <c r="X104" s="19"/>
      <c r="Y104" s="19"/>
      <c r="Z104" s="19"/>
      <c r="AA104" s="19"/>
    </row>
    <row r="105" spans="1:27" ht="14.25" customHeight="1" x14ac:dyDescent="0.3">
      <c r="A105" s="11">
        <v>104</v>
      </c>
      <c r="B105" s="10">
        <v>5</v>
      </c>
      <c r="C105" s="11" t="s">
        <v>23</v>
      </c>
      <c r="D105" s="10">
        <v>31</v>
      </c>
      <c r="E105" s="10">
        <v>21</v>
      </c>
      <c r="F105" s="10">
        <v>199578</v>
      </c>
      <c r="G105" s="10">
        <v>46835</v>
      </c>
      <c r="H105" s="10">
        <v>442</v>
      </c>
      <c r="I105" s="10">
        <v>74502</v>
      </c>
      <c r="J105" s="10">
        <v>24492216</v>
      </c>
      <c r="K105" s="10">
        <v>75114</v>
      </c>
      <c r="L105" s="12">
        <v>1865606</v>
      </c>
      <c r="M105" s="13">
        <f>+_xlfn.XLOOKUP(D105&amp;"-"&amp;E105,'[1]Listado Lotes'!$K$3:$K$385,'[1]Listado Lotes'!$E$3:$E$385)</f>
        <v>233.98</v>
      </c>
      <c r="N105" s="28" t="s">
        <v>233</v>
      </c>
      <c r="O105" s="14" t="e">
        <v>#N/A</v>
      </c>
      <c r="P105" s="15" t="e">
        <v>#N/A</v>
      </c>
      <c r="Q105" s="16" t="e">
        <v>#N/A</v>
      </c>
      <c r="R105" s="16" t="e">
        <v>#N/A</v>
      </c>
      <c r="S105" s="17" t="e">
        <v>#N/A</v>
      </c>
      <c r="T105" s="17" t="e">
        <v>#N/A</v>
      </c>
      <c r="U105" s="18"/>
      <c r="V105" s="18"/>
      <c r="W105" s="18" t="e">
        <v>#N/A</v>
      </c>
      <c r="X105" s="19"/>
      <c r="Y105" s="19"/>
      <c r="Z105" s="19"/>
      <c r="AA105" s="19"/>
    </row>
    <row r="106" spans="1:27" ht="14.25" customHeight="1" x14ac:dyDescent="0.3">
      <c r="A106" s="11">
        <v>105</v>
      </c>
      <c r="B106" s="10">
        <v>5</v>
      </c>
      <c r="C106" s="11" t="s">
        <v>23</v>
      </c>
      <c r="D106" s="10">
        <v>31</v>
      </c>
      <c r="E106" s="10">
        <v>22</v>
      </c>
      <c r="F106" s="10">
        <v>199579</v>
      </c>
      <c r="G106" s="10">
        <v>46836</v>
      </c>
      <c r="H106" s="10">
        <v>442</v>
      </c>
      <c r="I106" s="10">
        <v>74503</v>
      </c>
      <c r="J106" s="10">
        <v>24492217</v>
      </c>
      <c r="K106" s="10">
        <v>91377</v>
      </c>
      <c r="L106" s="12">
        <v>2269545</v>
      </c>
      <c r="M106" s="13">
        <f>+_xlfn.XLOOKUP(D106&amp;"-"&amp;E106,'[1]Listado Lotes'!$K$3:$K$385,'[1]Listado Lotes'!$E$3:$E$385)</f>
        <v>212.94</v>
      </c>
      <c r="N106" s="28" t="s">
        <v>233</v>
      </c>
      <c r="O106" s="14" t="e">
        <v>#N/A</v>
      </c>
      <c r="P106" s="15" t="e">
        <v>#N/A</v>
      </c>
      <c r="Q106" s="16" t="e">
        <v>#N/A</v>
      </c>
      <c r="R106" s="16" t="e">
        <v>#N/A</v>
      </c>
      <c r="S106" s="17" t="e">
        <v>#N/A</v>
      </c>
      <c r="T106" s="17" t="e">
        <v>#N/A</v>
      </c>
      <c r="U106" s="18"/>
      <c r="V106" s="18"/>
      <c r="W106" s="18" t="e">
        <v>#N/A</v>
      </c>
      <c r="X106" s="19"/>
      <c r="Y106" s="19"/>
      <c r="Z106" s="19"/>
      <c r="AA106" s="19"/>
    </row>
    <row r="107" spans="1:27" ht="14.25" customHeight="1" x14ac:dyDescent="0.3">
      <c r="A107" s="11">
        <v>106</v>
      </c>
      <c r="B107" s="10">
        <v>5</v>
      </c>
      <c r="C107" s="11" t="s">
        <v>23</v>
      </c>
      <c r="D107" s="10">
        <v>31</v>
      </c>
      <c r="E107" s="10">
        <v>23</v>
      </c>
      <c r="F107" s="10">
        <v>199580</v>
      </c>
      <c r="G107" s="10">
        <v>46837</v>
      </c>
      <c r="H107" s="10">
        <v>442</v>
      </c>
      <c r="I107" s="10">
        <v>74504</v>
      </c>
      <c r="J107" s="10">
        <v>24492218</v>
      </c>
      <c r="K107" s="10">
        <v>74435</v>
      </c>
      <c r="L107" s="12">
        <v>1873593</v>
      </c>
      <c r="M107" s="13">
        <f>+_xlfn.XLOOKUP(D107&amp;"-"&amp;E107,'[1]Listado Lotes'!$K$3:$K$385,'[1]Listado Lotes'!$E$3:$E$385)</f>
        <v>235</v>
      </c>
      <c r="N107" s="28" t="s">
        <v>233</v>
      </c>
      <c r="O107" s="14" t="e">
        <v>#N/A</v>
      </c>
      <c r="P107" s="15" t="e">
        <v>#N/A</v>
      </c>
      <c r="Q107" s="16" t="e">
        <v>#N/A</v>
      </c>
      <c r="R107" s="16" t="e">
        <v>#N/A</v>
      </c>
      <c r="S107" s="17" t="e">
        <v>#N/A</v>
      </c>
      <c r="T107" s="17" t="e">
        <v>#N/A</v>
      </c>
      <c r="U107" s="18"/>
      <c r="V107" s="18"/>
      <c r="W107" s="18" t="e">
        <v>#N/A</v>
      </c>
      <c r="X107" s="19"/>
      <c r="Y107" s="19"/>
      <c r="Z107" s="19"/>
      <c r="AA107" s="19"/>
    </row>
    <row r="108" spans="1:27" ht="14.25" customHeight="1" x14ac:dyDescent="0.3">
      <c r="A108" s="11">
        <v>107</v>
      </c>
      <c r="B108" s="10">
        <v>5</v>
      </c>
      <c r="C108" s="11" t="s">
        <v>23</v>
      </c>
      <c r="D108" s="10">
        <v>31</v>
      </c>
      <c r="E108" s="10">
        <v>24</v>
      </c>
      <c r="F108" s="10">
        <v>199581</v>
      </c>
      <c r="G108" s="10">
        <v>46838</v>
      </c>
      <c r="H108" s="10">
        <v>442</v>
      </c>
      <c r="I108" s="10">
        <v>74505</v>
      </c>
      <c r="J108" s="10">
        <v>24495026</v>
      </c>
      <c r="K108" s="10">
        <v>107730</v>
      </c>
      <c r="L108" s="12">
        <v>2675690</v>
      </c>
      <c r="M108" s="13">
        <f>+_xlfn.XLOOKUP(D108&amp;"-"&amp;E108,'[1]Listado Lotes'!$K$3:$K$385,'[1]Listado Lotes'!$E$3:$E$385)</f>
        <v>399.15</v>
      </c>
      <c r="N108" s="28" t="s">
        <v>233</v>
      </c>
      <c r="O108" s="14" t="e">
        <v>#N/A</v>
      </c>
      <c r="P108" s="15" t="e">
        <v>#N/A</v>
      </c>
      <c r="Q108" s="16" t="e">
        <v>#N/A</v>
      </c>
      <c r="R108" s="16" t="e">
        <v>#N/A</v>
      </c>
      <c r="S108" s="17" t="e">
        <v>#N/A</v>
      </c>
      <c r="T108" s="17" t="e">
        <v>#N/A</v>
      </c>
      <c r="U108" s="18"/>
      <c r="V108" s="18"/>
      <c r="W108" s="18" t="e">
        <v>#N/A</v>
      </c>
      <c r="X108" s="19"/>
      <c r="Y108" s="19"/>
      <c r="Z108" s="19"/>
      <c r="AA108" s="19"/>
    </row>
    <row r="109" spans="1:27" ht="14.25" customHeight="1" x14ac:dyDescent="0.3">
      <c r="A109" s="11">
        <v>108</v>
      </c>
      <c r="B109" s="10">
        <v>5</v>
      </c>
      <c r="C109" s="11" t="s">
        <v>23</v>
      </c>
      <c r="D109" s="10">
        <v>31</v>
      </c>
      <c r="E109" s="10">
        <v>25</v>
      </c>
      <c r="F109" s="10">
        <v>199582</v>
      </c>
      <c r="G109" s="10">
        <v>46839</v>
      </c>
      <c r="H109" s="10">
        <v>442</v>
      </c>
      <c r="I109" s="10">
        <v>74506</v>
      </c>
      <c r="J109" s="10">
        <v>24495033</v>
      </c>
      <c r="K109" s="10">
        <v>107730</v>
      </c>
      <c r="L109" s="12">
        <v>2675690</v>
      </c>
      <c r="M109" s="13">
        <f>+_xlfn.XLOOKUP(D109&amp;"-"&amp;E109,'[1]Listado Lotes'!$K$3:$K$385,'[1]Listado Lotes'!$E$3:$E$385)</f>
        <v>399.15</v>
      </c>
      <c r="N109" s="28" t="s">
        <v>233</v>
      </c>
      <c r="O109" s="14" t="e">
        <v>#N/A</v>
      </c>
      <c r="P109" s="15" t="e">
        <v>#N/A</v>
      </c>
      <c r="Q109" s="16" t="e">
        <v>#N/A</v>
      </c>
      <c r="R109" s="16" t="e">
        <v>#N/A</v>
      </c>
      <c r="S109" s="17" t="e">
        <v>#N/A</v>
      </c>
      <c r="T109" s="17" t="e">
        <v>#N/A</v>
      </c>
      <c r="U109" s="18"/>
      <c r="V109" s="18"/>
      <c r="W109" s="18" t="e">
        <v>#N/A</v>
      </c>
      <c r="X109" s="19"/>
      <c r="Y109" s="19"/>
      <c r="Z109" s="19"/>
      <c r="AA109" s="19"/>
    </row>
    <row r="110" spans="1:27" ht="14.25" customHeight="1" x14ac:dyDescent="0.3">
      <c r="A110" s="11">
        <v>109</v>
      </c>
      <c r="B110" s="10">
        <v>5</v>
      </c>
      <c r="C110" s="11" t="s">
        <v>23</v>
      </c>
      <c r="D110" s="10">
        <v>31</v>
      </c>
      <c r="E110" s="10">
        <v>26</v>
      </c>
      <c r="F110" s="10">
        <v>199583</v>
      </c>
      <c r="G110" s="10">
        <v>46840</v>
      </c>
      <c r="H110" s="10">
        <v>442</v>
      </c>
      <c r="I110" s="10">
        <v>74507</v>
      </c>
      <c r="J110" s="10">
        <v>24495039</v>
      </c>
      <c r="K110" s="10">
        <v>107730</v>
      </c>
      <c r="L110" s="12">
        <v>2675690</v>
      </c>
      <c r="M110" s="13">
        <f>+_xlfn.XLOOKUP(D110&amp;"-"&amp;E110,'[1]Listado Lotes'!$K$3:$K$385,'[1]Listado Lotes'!$E$3:$E$385)</f>
        <v>399.15</v>
      </c>
      <c r="N110" s="28" t="s">
        <v>233</v>
      </c>
      <c r="O110" s="14" t="e">
        <v>#N/A</v>
      </c>
      <c r="P110" s="15" t="e">
        <v>#N/A</v>
      </c>
      <c r="Q110" s="16" t="e">
        <v>#N/A</v>
      </c>
      <c r="R110" s="16" t="e">
        <v>#N/A</v>
      </c>
      <c r="S110" s="17" t="e">
        <v>#N/A</v>
      </c>
      <c r="T110" s="17" t="e">
        <v>#N/A</v>
      </c>
      <c r="U110" s="18"/>
      <c r="V110" s="18"/>
      <c r="W110" s="18" t="e">
        <v>#N/A</v>
      </c>
      <c r="X110" s="19"/>
      <c r="Y110" s="19"/>
      <c r="Z110" s="19"/>
      <c r="AA110" s="19"/>
    </row>
    <row r="111" spans="1:27" ht="14.25" customHeight="1" x14ac:dyDescent="0.3">
      <c r="A111" s="11">
        <v>110</v>
      </c>
      <c r="B111" s="10">
        <v>5</v>
      </c>
      <c r="C111" s="11" t="s">
        <v>23</v>
      </c>
      <c r="D111" s="10">
        <v>31</v>
      </c>
      <c r="E111" s="10">
        <v>27</v>
      </c>
      <c r="F111" s="10">
        <v>199584</v>
      </c>
      <c r="G111" s="10">
        <v>46841</v>
      </c>
      <c r="H111" s="10">
        <v>442</v>
      </c>
      <c r="I111" s="10">
        <v>74508</v>
      </c>
      <c r="J111" s="10">
        <v>24495115</v>
      </c>
      <c r="K111" s="10">
        <v>107730</v>
      </c>
      <c r="L111" s="12">
        <v>2675690</v>
      </c>
      <c r="M111" s="13">
        <f>+_xlfn.XLOOKUP(D111&amp;"-"&amp;E111,'[1]Listado Lotes'!$K$3:$K$385,'[1]Listado Lotes'!$E$3:$E$385)</f>
        <v>399.15</v>
      </c>
      <c r="N111" s="28" t="s">
        <v>233</v>
      </c>
      <c r="O111" s="14" t="e">
        <v>#N/A</v>
      </c>
      <c r="P111" s="15" t="e">
        <v>#N/A</v>
      </c>
      <c r="Q111" s="16" t="e">
        <v>#N/A</v>
      </c>
      <c r="R111" s="16" t="e">
        <v>#N/A</v>
      </c>
      <c r="S111" s="17" t="e">
        <v>#N/A</v>
      </c>
      <c r="T111" s="17" t="e">
        <v>#N/A</v>
      </c>
      <c r="U111" s="18"/>
      <c r="V111" s="18"/>
      <c r="W111" s="18" t="e">
        <v>#N/A</v>
      </c>
      <c r="X111" s="19"/>
      <c r="Y111" s="19"/>
      <c r="Z111" s="19"/>
      <c r="AA111" s="19"/>
    </row>
    <row r="112" spans="1:27" ht="14.25" customHeight="1" x14ac:dyDescent="0.3">
      <c r="A112" s="11">
        <v>111</v>
      </c>
      <c r="B112" s="10">
        <v>5</v>
      </c>
      <c r="C112" s="11" t="s">
        <v>23</v>
      </c>
      <c r="D112" s="10">
        <v>31</v>
      </c>
      <c r="E112" s="10">
        <v>28</v>
      </c>
      <c r="F112" s="10">
        <v>199585</v>
      </c>
      <c r="G112" s="10">
        <v>46842</v>
      </c>
      <c r="H112" s="10">
        <v>442</v>
      </c>
      <c r="I112" s="10">
        <v>74509</v>
      </c>
      <c r="J112" s="10">
        <v>24495119</v>
      </c>
      <c r="K112" s="10">
        <v>107730</v>
      </c>
      <c r="L112" s="12">
        <v>2675690</v>
      </c>
      <c r="M112" s="13">
        <f>+_xlfn.XLOOKUP(D112&amp;"-"&amp;E112,'[1]Listado Lotes'!$K$3:$K$385,'[1]Listado Lotes'!$E$3:$E$385)</f>
        <v>399.15</v>
      </c>
      <c r="N112" s="28" t="s">
        <v>233</v>
      </c>
      <c r="O112" s="14" t="e">
        <v>#N/A</v>
      </c>
      <c r="P112" s="15" t="e">
        <v>#N/A</v>
      </c>
      <c r="Q112" s="16" t="e">
        <v>#N/A</v>
      </c>
      <c r="R112" s="16" t="e">
        <v>#N/A</v>
      </c>
      <c r="S112" s="17" t="e">
        <v>#N/A</v>
      </c>
      <c r="T112" s="17" t="e">
        <v>#N/A</v>
      </c>
      <c r="U112" s="18"/>
      <c r="V112" s="18"/>
      <c r="W112" s="18" t="e">
        <v>#N/A</v>
      </c>
      <c r="X112" s="19"/>
      <c r="Y112" s="19"/>
      <c r="Z112" s="19"/>
      <c r="AA112" s="19"/>
    </row>
    <row r="113" spans="1:27" ht="14.25" customHeight="1" x14ac:dyDescent="0.3">
      <c r="A113" s="11">
        <v>112</v>
      </c>
      <c r="B113" s="10">
        <v>5</v>
      </c>
      <c r="C113" s="11" t="s">
        <v>23</v>
      </c>
      <c r="D113" s="10">
        <v>31</v>
      </c>
      <c r="E113" s="10">
        <v>29</v>
      </c>
      <c r="F113" s="10">
        <v>199586</v>
      </c>
      <c r="G113" s="10">
        <v>46843</v>
      </c>
      <c r="H113" s="10">
        <v>442</v>
      </c>
      <c r="I113" s="10">
        <v>74510</v>
      </c>
      <c r="J113" s="10">
        <v>24495122</v>
      </c>
      <c r="K113" s="10">
        <v>107730</v>
      </c>
      <c r="L113" s="12">
        <v>2675690</v>
      </c>
      <c r="M113" s="13">
        <f>+_xlfn.XLOOKUP(D113&amp;"-"&amp;E113,'[1]Listado Lotes'!$K$3:$K$385,'[1]Listado Lotes'!$E$3:$E$385)</f>
        <v>399.15</v>
      </c>
      <c r="N113" s="28" t="s">
        <v>233</v>
      </c>
      <c r="O113" s="14" t="e">
        <v>#N/A</v>
      </c>
      <c r="P113" s="15" t="e">
        <v>#N/A</v>
      </c>
      <c r="Q113" s="16" t="e">
        <v>#N/A</v>
      </c>
      <c r="R113" s="16" t="e">
        <v>#N/A</v>
      </c>
      <c r="S113" s="17" t="e">
        <v>#N/A</v>
      </c>
      <c r="T113" s="17" t="e">
        <v>#N/A</v>
      </c>
      <c r="U113" s="18"/>
      <c r="V113" s="18"/>
      <c r="W113" s="18" t="e">
        <v>#N/A</v>
      </c>
      <c r="X113" s="19"/>
      <c r="Y113" s="19"/>
      <c r="Z113" s="19"/>
      <c r="AA113" s="19"/>
    </row>
    <row r="114" spans="1:27" ht="14.25" customHeight="1" x14ac:dyDescent="0.3">
      <c r="A114" s="11">
        <v>113</v>
      </c>
      <c r="B114" s="10">
        <v>5</v>
      </c>
      <c r="C114" s="11" t="s">
        <v>23</v>
      </c>
      <c r="D114" s="10">
        <v>31</v>
      </c>
      <c r="E114" s="10">
        <v>30</v>
      </c>
      <c r="F114" s="10">
        <v>199587</v>
      </c>
      <c r="G114" s="10">
        <v>46844</v>
      </c>
      <c r="H114" s="10">
        <v>442</v>
      </c>
      <c r="I114" s="10">
        <v>74511</v>
      </c>
      <c r="J114" s="10">
        <v>24495135</v>
      </c>
      <c r="K114" s="10">
        <v>107730</v>
      </c>
      <c r="L114" s="12">
        <v>2675690</v>
      </c>
      <c r="M114" s="13">
        <f>+_xlfn.XLOOKUP(D114&amp;"-"&amp;E114,'[1]Listado Lotes'!$K$3:$K$385,'[1]Listado Lotes'!$E$3:$E$385)</f>
        <v>399.15</v>
      </c>
      <c r="N114" s="28" t="s">
        <v>233</v>
      </c>
      <c r="O114" s="14" t="e">
        <v>#N/A</v>
      </c>
      <c r="P114" s="15" t="e">
        <v>#N/A</v>
      </c>
      <c r="Q114" s="16" t="e">
        <v>#N/A</v>
      </c>
      <c r="R114" s="16" t="e">
        <v>#N/A</v>
      </c>
      <c r="S114" s="17" t="e">
        <v>#N/A</v>
      </c>
      <c r="T114" s="17" t="e">
        <v>#N/A</v>
      </c>
      <c r="U114" s="18"/>
      <c r="V114" s="18"/>
      <c r="W114" s="18" t="e">
        <v>#N/A</v>
      </c>
      <c r="X114" s="19"/>
      <c r="Y114" s="19"/>
      <c r="Z114" s="19"/>
      <c r="AA114" s="19"/>
    </row>
    <row r="115" spans="1:27" ht="14.25" customHeight="1" x14ac:dyDescent="0.3">
      <c r="A115" s="11">
        <v>114</v>
      </c>
      <c r="B115" s="10">
        <v>5</v>
      </c>
      <c r="C115" s="11" t="s">
        <v>23</v>
      </c>
      <c r="D115" s="10">
        <v>31</v>
      </c>
      <c r="E115" s="10">
        <v>31</v>
      </c>
      <c r="F115" s="10">
        <v>199588</v>
      </c>
      <c r="G115" s="10">
        <v>46845</v>
      </c>
      <c r="H115" s="10">
        <v>442</v>
      </c>
      <c r="I115" s="10">
        <v>74512</v>
      </c>
      <c r="J115" s="10">
        <v>24495161</v>
      </c>
      <c r="K115" s="10">
        <v>107730</v>
      </c>
      <c r="L115" s="12">
        <v>2675690</v>
      </c>
      <c r="M115" s="13">
        <f>+_xlfn.XLOOKUP(D115&amp;"-"&amp;E115,'[1]Listado Lotes'!$K$3:$K$385,'[1]Listado Lotes'!$E$3:$E$385)</f>
        <v>399.15</v>
      </c>
      <c r="N115" s="28" t="s">
        <v>233</v>
      </c>
      <c r="O115" s="14" t="e">
        <v>#N/A</v>
      </c>
      <c r="P115" s="15" t="e">
        <v>#N/A</v>
      </c>
      <c r="Q115" s="16" t="e">
        <v>#N/A</v>
      </c>
      <c r="R115" s="16" t="e">
        <v>#N/A</v>
      </c>
      <c r="S115" s="17" t="e">
        <v>#N/A</v>
      </c>
      <c r="T115" s="17" t="e">
        <v>#N/A</v>
      </c>
      <c r="U115" s="18"/>
      <c r="V115" s="18"/>
      <c r="W115" s="18" t="e">
        <v>#N/A</v>
      </c>
      <c r="X115" s="19"/>
      <c r="Y115" s="19"/>
      <c r="Z115" s="19"/>
      <c r="AA115" s="19"/>
    </row>
    <row r="116" spans="1:27" ht="14.25" customHeight="1" x14ac:dyDescent="0.3">
      <c r="A116" s="11">
        <v>115</v>
      </c>
      <c r="B116" s="10">
        <v>5</v>
      </c>
      <c r="C116" s="11" t="s">
        <v>23</v>
      </c>
      <c r="D116" s="10">
        <v>31</v>
      </c>
      <c r="E116" s="10">
        <v>32</v>
      </c>
      <c r="F116" s="10">
        <v>199589</v>
      </c>
      <c r="G116" s="10">
        <v>46846</v>
      </c>
      <c r="H116" s="10">
        <v>442</v>
      </c>
      <c r="I116" s="10">
        <v>74513</v>
      </c>
      <c r="J116" s="10">
        <v>24495170</v>
      </c>
      <c r="K116" s="10">
        <v>74435</v>
      </c>
      <c r="L116" s="12">
        <v>1873593</v>
      </c>
      <c r="M116" s="13">
        <f>+_xlfn.XLOOKUP(D116&amp;"-"&amp;E116,'[1]Listado Lotes'!$K$3:$K$385,'[1]Listado Lotes'!$E$3:$E$385)</f>
        <v>235</v>
      </c>
      <c r="N116" s="28" t="s">
        <v>233</v>
      </c>
      <c r="O116" s="14" t="e">
        <v>#N/A</v>
      </c>
      <c r="P116" s="15" t="e">
        <v>#N/A</v>
      </c>
      <c r="Q116" s="16" t="e">
        <v>#N/A</v>
      </c>
      <c r="R116" s="16" t="e">
        <v>#N/A</v>
      </c>
      <c r="S116" s="17" t="e">
        <v>#N/A</v>
      </c>
      <c r="T116" s="17" t="e">
        <v>#N/A</v>
      </c>
      <c r="U116" s="18"/>
      <c r="V116" s="18"/>
      <c r="W116" s="18" t="e">
        <v>#N/A</v>
      </c>
      <c r="X116" s="19"/>
      <c r="Y116" s="19"/>
      <c r="Z116" s="19"/>
      <c r="AA116" s="19"/>
    </row>
    <row r="117" spans="1:27" ht="14.25" customHeight="1" x14ac:dyDescent="0.3">
      <c r="A117" s="11">
        <v>116</v>
      </c>
      <c r="B117" s="10">
        <v>5</v>
      </c>
      <c r="C117" s="11" t="s">
        <v>23</v>
      </c>
      <c r="D117" s="10">
        <v>32</v>
      </c>
      <c r="E117" s="10">
        <v>1</v>
      </c>
      <c r="F117" s="10">
        <v>199528</v>
      </c>
      <c r="G117" s="10">
        <v>46847</v>
      </c>
      <c r="H117" s="10">
        <v>442</v>
      </c>
      <c r="I117" s="10">
        <v>74294</v>
      </c>
      <c r="J117" s="10">
        <v>24495232</v>
      </c>
      <c r="K117" s="10">
        <v>98241</v>
      </c>
      <c r="L117" s="12">
        <v>2440026</v>
      </c>
      <c r="M117" s="13">
        <f>+_xlfn.XLOOKUP(D117&amp;"-"&amp;E117,'[1]Listado Lotes'!$K$3:$K$385,'[1]Listado Lotes'!$E$3:$E$385)</f>
        <v>229.5</v>
      </c>
      <c r="N117" s="28" t="s">
        <v>233</v>
      </c>
      <c r="O117" s="14" t="e">
        <v>#N/A</v>
      </c>
      <c r="P117" s="15" t="e">
        <v>#N/A</v>
      </c>
      <c r="Q117" s="16" t="e">
        <v>#N/A</v>
      </c>
      <c r="R117" s="16" t="e">
        <v>#N/A</v>
      </c>
      <c r="S117" s="17" t="e">
        <v>#N/A</v>
      </c>
      <c r="T117" s="17" t="e">
        <v>#N/A</v>
      </c>
      <c r="U117" s="18"/>
      <c r="V117" s="18"/>
      <c r="W117" s="18" t="e">
        <v>#N/A</v>
      </c>
      <c r="X117" s="19"/>
      <c r="Y117" s="19"/>
      <c r="Z117" s="19"/>
      <c r="AA117" s="19"/>
    </row>
    <row r="118" spans="1:27" ht="14.25" customHeight="1" x14ac:dyDescent="0.3">
      <c r="A118" s="11">
        <v>117</v>
      </c>
      <c r="B118" s="10">
        <v>5</v>
      </c>
      <c r="C118" s="11" t="s">
        <v>23</v>
      </c>
      <c r="D118" s="10">
        <v>32</v>
      </c>
      <c r="E118" s="10">
        <v>2</v>
      </c>
      <c r="F118" s="10">
        <v>199529</v>
      </c>
      <c r="G118" s="10">
        <v>46848</v>
      </c>
      <c r="H118" s="10">
        <v>442</v>
      </c>
      <c r="I118" s="10">
        <v>74295</v>
      </c>
      <c r="J118" s="10">
        <v>24495236</v>
      </c>
      <c r="K118" s="10">
        <v>75114</v>
      </c>
      <c r="L118" s="12">
        <v>1865606</v>
      </c>
      <c r="M118" s="13">
        <f>+_xlfn.XLOOKUP(D118&amp;"-"&amp;E118,'[1]Listado Lotes'!$K$3:$K$385,'[1]Listado Lotes'!$E$3:$E$385)</f>
        <v>233.98</v>
      </c>
      <c r="N118" s="28" t="s">
        <v>233</v>
      </c>
      <c r="O118" s="14" t="e">
        <v>#N/A</v>
      </c>
      <c r="P118" s="15" t="e">
        <v>#N/A</v>
      </c>
      <c r="Q118" s="16" t="e">
        <v>#N/A</v>
      </c>
      <c r="R118" s="16" t="e">
        <v>#N/A</v>
      </c>
      <c r="S118" s="17" t="e">
        <v>#N/A</v>
      </c>
      <c r="T118" s="17" t="e">
        <v>#N/A</v>
      </c>
      <c r="U118" s="18"/>
      <c r="V118" s="18"/>
      <c r="W118" s="18" t="e">
        <v>#N/A</v>
      </c>
      <c r="X118" s="19"/>
      <c r="Y118" s="19"/>
      <c r="Z118" s="19"/>
      <c r="AA118" s="19"/>
    </row>
    <row r="119" spans="1:27" ht="14.25" customHeight="1" x14ac:dyDescent="0.3">
      <c r="A119" s="11">
        <v>118</v>
      </c>
      <c r="B119" s="10">
        <v>5</v>
      </c>
      <c r="C119" s="11" t="s">
        <v>23</v>
      </c>
      <c r="D119" s="10">
        <v>32</v>
      </c>
      <c r="E119" s="10">
        <v>3</v>
      </c>
      <c r="F119" s="10">
        <v>199530</v>
      </c>
      <c r="G119" s="10">
        <v>46849</v>
      </c>
      <c r="H119" s="10">
        <v>442</v>
      </c>
      <c r="I119" s="10">
        <v>74296</v>
      </c>
      <c r="J119" s="10">
        <v>24495240</v>
      </c>
      <c r="K119" s="10">
        <v>75114</v>
      </c>
      <c r="L119" s="12">
        <v>1865606</v>
      </c>
      <c r="M119" s="13">
        <f>+_xlfn.XLOOKUP(D119&amp;"-"&amp;E119,'[1]Listado Lotes'!$K$3:$K$385,'[1]Listado Lotes'!$E$3:$E$385)</f>
        <v>233.98</v>
      </c>
      <c r="N119" s="28" t="s">
        <v>233</v>
      </c>
      <c r="O119" s="14" t="e">
        <v>#N/A</v>
      </c>
      <c r="P119" s="15" t="e">
        <v>#N/A</v>
      </c>
      <c r="Q119" s="16" t="e">
        <v>#N/A</v>
      </c>
      <c r="R119" s="16" t="e">
        <v>#N/A</v>
      </c>
      <c r="S119" s="17" t="e">
        <v>#N/A</v>
      </c>
      <c r="T119" s="17" t="e">
        <v>#N/A</v>
      </c>
      <c r="U119" s="18"/>
      <c r="V119" s="18"/>
      <c r="W119" s="18" t="e">
        <v>#N/A</v>
      </c>
      <c r="X119" s="19"/>
      <c r="Y119" s="19"/>
      <c r="Z119" s="19"/>
      <c r="AA119" s="19"/>
    </row>
    <row r="120" spans="1:27" ht="14.25" customHeight="1" x14ac:dyDescent="0.3">
      <c r="A120" s="11">
        <v>119</v>
      </c>
      <c r="B120" s="10">
        <v>5</v>
      </c>
      <c r="C120" s="11" t="s">
        <v>23</v>
      </c>
      <c r="D120" s="10">
        <v>32</v>
      </c>
      <c r="E120" s="10">
        <v>4</v>
      </c>
      <c r="F120" s="10">
        <v>199531</v>
      </c>
      <c r="G120" s="10">
        <v>46850</v>
      </c>
      <c r="H120" s="10">
        <v>442</v>
      </c>
      <c r="I120" s="10">
        <v>74297</v>
      </c>
      <c r="J120" s="10">
        <v>24495247</v>
      </c>
      <c r="K120" s="10">
        <v>75114</v>
      </c>
      <c r="L120" s="12">
        <v>1865606</v>
      </c>
      <c r="M120" s="13">
        <f>+_xlfn.XLOOKUP(D120&amp;"-"&amp;E120,'[1]Listado Lotes'!$K$3:$K$385,'[1]Listado Lotes'!$E$3:$E$385)</f>
        <v>233.98</v>
      </c>
      <c r="N120" s="28" t="s">
        <v>233</v>
      </c>
      <c r="O120" s="14" t="e">
        <v>#N/A</v>
      </c>
      <c r="P120" s="15" t="e">
        <v>#N/A</v>
      </c>
      <c r="Q120" s="16" t="e">
        <v>#N/A</v>
      </c>
      <c r="R120" s="16" t="e">
        <v>#N/A</v>
      </c>
      <c r="S120" s="17" t="e">
        <v>#N/A</v>
      </c>
      <c r="T120" s="17" t="e">
        <v>#N/A</v>
      </c>
      <c r="U120" s="18"/>
      <c r="V120" s="18"/>
      <c r="W120" s="18" t="e">
        <v>#N/A</v>
      </c>
      <c r="X120" s="19"/>
      <c r="Y120" s="19"/>
      <c r="Z120" s="19"/>
      <c r="AA120" s="19"/>
    </row>
    <row r="121" spans="1:27" ht="14.25" customHeight="1" x14ac:dyDescent="0.3">
      <c r="A121" s="11">
        <v>120</v>
      </c>
      <c r="B121" s="10">
        <v>5</v>
      </c>
      <c r="C121" s="11" t="s">
        <v>23</v>
      </c>
      <c r="D121" s="10">
        <v>32</v>
      </c>
      <c r="E121" s="10">
        <v>5</v>
      </c>
      <c r="F121" s="10">
        <v>199532</v>
      </c>
      <c r="G121" s="11" t="s">
        <v>29</v>
      </c>
      <c r="H121" s="10">
        <v>442</v>
      </c>
      <c r="I121" s="10">
        <v>74298</v>
      </c>
      <c r="J121" s="10">
        <v>24495251</v>
      </c>
      <c r="K121" s="10">
        <v>75114</v>
      </c>
      <c r="L121" s="12">
        <v>1865606</v>
      </c>
      <c r="M121" s="13">
        <f>+_xlfn.XLOOKUP(D121&amp;"-"&amp;E121,'[1]Listado Lotes'!$K$3:$K$385,'[1]Listado Lotes'!$E$3:$E$385)</f>
        <v>233.98</v>
      </c>
      <c r="N121" s="28" t="s">
        <v>233</v>
      </c>
      <c r="O121" s="14" t="e">
        <v>#N/A</v>
      </c>
      <c r="P121" s="15" t="e">
        <v>#N/A</v>
      </c>
      <c r="Q121" s="16" t="e">
        <v>#N/A</v>
      </c>
      <c r="R121" s="16" t="e">
        <v>#N/A</v>
      </c>
      <c r="S121" s="17" t="e">
        <v>#N/A</v>
      </c>
      <c r="T121" s="17" t="e">
        <v>#N/A</v>
      </c>
      <c r="U121" s="18"/>
      <c r="V121" s="18"/>
      <c r="W121" s="18" t="e">
        <v>#N/A</v>
      </c>
      <c r="X121" s="19"/>
      <c r="Y121" s="19"/>
      <c r="Z121" s="19"/>
      <c r="AA121" s="19"/>
    </row>
    <row r="122" spans="1:27" ht="14.25" customHeight="1" x14ac:dyDescent="0.3">
      <c r="A122" s="11">
        <v>121</v>
      </c>
      <c r="B122" s="10">
        <v>5</v>
      </c>
      <c r="C122" s="11" t="s">
        <v>23</v>
      </c>
      <c r="D122" s="10">
        <v>32</v>
      </c>
      <c r="E122" s="10">
        <v>6</v>
      </c>
      <c r="F122" s="10">
        <v>199533</v>
      </c>
      <c r="G122" s="10">
        <v>46851</v>
      </c>
      <c r="H122" s="10">
        <v>442</v>
      </c>
      <c r="I122" s="10">
        <v>74299</v>
      </c>
      <c r="J122" s="10">
        <v>24495455</v>
      </c>
      <c r="K122" s="10">
        <v>98241</v>
      </c>
      <c r="L122" s="12">
        <v>2440026</v>
      </c>
      <c r="M122" s="13">
        <f>+_xlfn.XLOOKUP(D122&amp;"-"&amp;E122,'[1]Listado Lotes'!$K$3:$K$385,'[1]Listado Lotes'!$E$3:$E$385)</f>
        <v>229.5</v>
      </c>
      <c r="N122" s="28" t="s">
        <v>233</v>
      </c>
      <c r="O122" s="14" t="e">
        <v>#N/A</v>
      </c>
      <c r="P122" s="15" t="e">
        <v>#N/A</v>
      </c>
      <c r="Q122" s="16" t="e">
        <v>#N/A</v>
      </c>
      <c r="R122" s="16" t="e">
        <v>#N/A</v>
      </c>
      <c r="S122" s="17" t="e">
        <v>#N/A</v>
      </c>
      <c r="T122" s="17" t="e">
        <v>#N/A</v>
      </c>
      <c r="U122" s="18"/>
      <c r="V122" s="18"/>
      <c r="W122" s="18" t="e">
        <v>#N/A</v>
      </c>
      <c r="X122" s="19"/>
      <c r="Y122" s="19"/>
      <c r="Z122" s="19"/>
      <c r="AA122" s="19"/>
    </row>
    <row r="123" spans="1:27" ht="14.25" customHeight="1" x14ac:dyDescent="0.3">
      <c r="A123" s="11">
        <v>122</v>
      </c>
      <c r="B123" s="10">
        <v>5</v>
      </c>
      <c r="C123" s="11" t="s">
        <v>23</v>
      </c>
      <c r="D123" s="10">
        <v>32</v>
      </c>
      <c r="E123" s="10">
        <v>7</v>
      </c>
      <c r="F123" s="10">
        <v>199534</v>
      </c>
      <c r="G123" s="10">
        <v>46852</v>
      </c>
      <c r="H123" s="10">
        <v>442</v>
      </c>
      <c r="I123" s="10">
        <v>74300</v>
      </c>
      <c r="J123" s="10">
        <v>24495488</v>
      </c>
      <c r="K123" s="10">
        <v>89700</v>
      </c>
      <c r="L123" s="12">
        <v>2227878</v>
      </c>
      <c r="M123" s="13">
        <f>+_xlfn.XLOOKUP(D123&amp;"-"&amp;E123,'[1]Listado Lotes'!$K$3:$K$385,'[1]Listado Lotes'!$E$3:$E$385)</f>
        <v>298.69</v>
      </c>
      <c r="N123" s="28" t="s">
        <v>233</v>
      </c>
      <c r="O123" s="14" t="e">
        <v>#N/A</v>
      </c>
      <c r="P123" s="15" t="e">
        <v>#N/A</v>
      </c>
      <c r="Q123" s="16" t="e">
        <v>#N/A</v>
      </c>
      <c r="R123" s="16" t="e">
        <v>#N/A</v>
      </c>
      <c r="S123" s="17" t="e">
        <v>#N/A</v>
      </c>
      <c r="T123" s="17" t="e">
        <v>#N/A</v>
      </c>
      <c r="U123" s="18"/>
      <c r="V123" s="18"/>
      <c r="W123" s="18" t="e">
        <v>#N/A</v>
      </c>
      <c r="X123" s="19"/>
      <c r="Y123" s="19"/>
      <c r="Z123" s="19"/>
      <c r="AA123" s="19"/>
    </row>
    <row r="124" spans="1:27" ht="14.25" customHeight="1" x14ac:dyDescent="0.3">
      <c r="A124" s="11">
        <v>123</v>
      </c>
      <c r="B124" s="10">
        <v>5</v>
      </c>
      <c r="C124" s="11" t="s">
        <v>23</v>
      </c>
      <c r="D124" s="10">
        <v>32</v>
      </c>
      <c r="E124" s="10">
        <v>8</v>
      </c>
      <c r="F124" s="10">
        <v>199535</v>
      </c>
      <c r="G124" s="10">
        <v>46853</v>
      </c>
      <c r="H124" s="10">
        <v>442</v>
      </c>
      <c r="I124" s="10">
        <v>74301</v>
      </c>
      <c r="J124" s="10">
        <v>24495492</v>
      </c>
      <c r="K124" s="10">
        <v>89700</v>
      </c>
      <c r="L124" s="12">
        <v>2227878</v>
      </c>
      <c r="M124" s="13">
        <f>+_xlfn.XLOOKUP(D124&amp;"-"&amp;E124,'[1]Listado Lotes'!$K$3:$K$385,'[1]Listado Lotes'!$E$3:$E$385)</f>
        <v>298.69</v>
      </c>
      <c r="N124" s="28" t="s">
        <v>233</v>
      </c>
      <c r="O124" s="14" t="e">
        <v>#N/A</v>
      </c>
      <c r="P124" s="15" t="e">
        <v>#N/A</v>
      </c>
      <c r="Q124" s="16" t="e">
        <v>#N/A</v>
      </c>
      <c r="R124" s="16" t="e">
        <v>#N/A</v>
      </c>
      <c r="S124" s="17" t="e">
        <v>#N/A</v>
      </c>
      <c r="T124" s="17" t="e">
        <v>#N/A</v>
      </c>
      <c r="U124" s="18"/>
      <c r="V124" s="18"/>
      <c r="W124" s="18" t="e">
        <v>#N/A</v>
      </c>
      <c r="X124" s="19"/>
      <c r="Y124" s="19"/>
      <c r="Z124" s="19"/>
      <c r="AA124" s="19"/>
    </row>
    <row r="125" spans="1:27" ht="14.25" customHeight="1" x14ac:dyDescent="0.3">
      <c r="A125" s="11">
        <v>124</v>
      </c>
      <c r="B125" s="10">
        <v>5</v>
      </c>
      <c r="C125" s="11" t="s">
        <v>23</v>
      </c>
      <c r="D125" s="10">
        <v>32</v>
      </c>
      <c r="E125" s="10">
        <v>9</v>
      </c>
      <c r="F125" s="10">
        <v>199536</v>
      </c>
      <c r="G125" s="10">
        <v>46854</v>
      </c>
      <c r="H125" s="10">
        <v>442</v>
      </c>
      <c r="I125" s="10">
        <v>74302</v>
      </c>
      <c r="J125" s="10">
        <v>24495498</v>
      </c>
      <c r="K125" s="10">
        <v>89700</v>
      </c>
      <c r="L125" s="12">
        <v>2227878</v>
      </c>
      <c r="M125" s="13">
        <f>+_xlfn.XLOOKUP(D125&amp;"-"&amp;E125,'[1]Listado Lotes'!$K$3:$K$385,'[1]Listado Lotes'!$E$3:$E$385)</f>
        <v>298.69</v>
      </c>
      <c r="N125" s="28" t="s">
        <v>233</v>
      </c>
      <c r="O125" s="14" t="e">
        <v>#N/A</v>
      </c>
      <c r="P125" s="15" t="e">
        <v>#N/A</v>
      </c>
      <c r="Q125" s="16" t="e">
        <v>#N/A</v>
      </c>
      <c r="R125" s="16" t="e">
        <v>#N/A</v>
      </c>
      <c r="S125" s="17" t="e">
        <v>#N/A</v>
      </c>
      <c r="T125" s="17" t="e">
        <v>#N/A</v>
      </c>
      <c r="U125" s="18"/>
      <c r="V125" s="18"/>
      <c r="W125" s="18" t="e">
        <v>#N/A</v>
      </c>
      <c r="X125" s="19"/>
      <c r="Y125" s="19"/>
      <c r="Z125" s="19"/>
      <c r="AA125" s="19"/>
    </row>
    <row r="126" spans="1:27" ht="14.25" customHeight="1" x14ac:dyDescent="0.3">
      <c r="A126" s="11">
        <v>125</v>
      </c>
      <c r="B126" s="10">
        <v>5</v>
      </c>
      <c r="C126" s="11" t="s">
        <v>23</v>
      </c>
      <c r="D126" s="10">
        <v>32</v>
      </c>
      <c r="E126" s="10">
        <v>10</v>
      </c>
      <c r="F126" s="10">
        <v>199537</v>
      </c>
      <c r="G126" s="10">
        <v>46855</v>
      </c>
      <c r="H126" s="10">
        <v>442</v>
      </c>
      <c r="I126" s="10">
        <v>74303</v>
      </c>
      <c r="J126" s="10">
        <v>24495502</v>
      </c>
      <c r="K126" s="10">
        <v>89700</v>
      </c>
      <c r="L126" s="12">
        <v>2227878</v>
      </c>
      <c r="M126" s="13">
        <f>+_xlfn.XLOOKUP(D126&amp;"-"&amp;E126,'[1]Listado Lotes'!$K$3:$K$385,'[1]Listado Lotes'!$E$3:$E$385)</f>
        <v>298.69</v>
      </c>
      <c r="N126" s="28" t="s">
        <v>233</v>
      </c>
      <c r="O126" s="14" t="e">
        <v>#N/A</v>
      </c>
      <c r="P126" s="15" t="e">
        <v>#N/A</v>
      </c>
      <c r="Q126" s="16" t="e">
        <v>#N/A</v>
      </c>
      <c r="R126" s="16" t="e">
        <v>#N/A</v>
      </c>
      <c r="S126" s="17" t="e">
        <v>#N/A</v>
      </c>
      <c r="T126" s="17" t="e">
        <v>#N/A</v>
      </c>
      <c r="U126" s="18"/>
      <c r="V126" s="18"/>
      <c r="W126" s="18" t="e">
        <v>#N/A</v>
      </c>
      <c r="X126" s="19"/>
      <c r="Y126" s="19"/>
      <c r="Z126" s="19"/>
      <c r="AA126" s="19"/>
    </row>
    <row r="127" spans="1:27" ht="14.25" customHeight="1" x14ac:dyDescent="0.3">
      <c r="A127" s="11">
        <v>126</v>
      </c>
      <c r="B127" s="10">
        <v>5</v>
      </c>
      <c r="C127" s="11" t="s">
        <v>23</v>
      </c>
      <c r="D127" s="10">
        <v>32</v>
      </c>
      <c r="E127" s="10">
        <v>11</v>
      </c>
      <c r="F127" s="10">
        <v>199538</v>
      </c>
      <c r="G127" s="10">
        <v>46856</v>
      </c>
      <c r="H127" s="10">
        <v>442</v>
      </c>
      <c r="I127" s="10">
        <v>74304</v>
      </c>
      <c r="J127" s="10">
        <v>24495507</v>
      </c>
      <c r="K127" s="10">
        <v>89700</v>
      </c>
      <c r="L127" s="12">
        <v>2227878</v>
      </c>
      <c r="M127" s="13">
        <f>+_xlfn.XLOOKUP(D127&amp;"-"&amp;E127,'[1]Listado Lotes'!$K$3:$K$385,'[1]Listado Lotes'!$E$3:$E$385)</f>
        <v>298.69</v>
      </c>
      <c r="N127" s="28" t="s">
        <v>233</v>
      </c>
      <c r="O127" s="14" t="e">
        <v>#N/A</v>
      </c>
      <c r="P127" s="15" t="e">
        <v>#N/A</v>
      </c>
      <c r="Q127" s="16" t="e">
        <v>#N/A</v>
      </c>
      <c r="R127" s="16" t="e">
        <v>#N/A</v>
      </c>
      <c r="S127" s="17" t="e">
        <v>#N/A</v>
      </c>
      <c r="T127" s="17" t="e">
        <v>#N/A</v>
      </c>
      <c r="U127" s="18"/>
      <c r="V127" s="18"/>
      <c r="W127" s="18" t="e">
        <v>#N/A</v>
      </c>
      <c r="X127" s="19"/>
      <c r="Y127" s="19"/>
      <c r="Z127" s="19"/>
      <c r="AA127" s="19"/>
    </row>
    <row r="128" spans="1:27" ht="14.25" customHeight="1" x14ac:dyDescent="0.3">
      <c r="A128" s="11">
        <v>127</v>
      </c>
      <c r="B128" s="10">
        <v>5</v>
      </c>
      <c r="C128" s="11" t="s">
        <v>23</v>
      </c>
      <c r="D128" s="10">
        <v>32</v>
      </c>
      <c r="E128" s="10">
        <v>12</v>
      </c>
      <c r="F128" s="10">
        <v>199539</v>
      </c>
      <c r="G128" s="10">
        <v>46857</v>
      </c>
      <c r="H128" s="10">
        <v>442</v>
      </c>
      <c r="I128" s="10">
        <v>74305</v>
      </c>
      <c r="J128" s="10">
        <v>24495509</v>
      </c>
      <c r="K128" s="10">
        <v>89700</v>
      </c>
      <c r="L128" s="12">
        <v>2227878</v>
      </c>
      <c r="M128" s="13">
        <f>+_xlfn.XLOOKUP(D128&amp;"-"&amp;E128,'[1]Listado Lotes'!$K$3:$K$385,'[1]Listado Lotes'!$E$3:$E$385)</f>
        <v>298.69</v>
      </c>
      <c r="N128" s="28" t="s">
        <v>233</v>
      </c>
      <c r="O128" s="14" t="e">
        <v>#N/A</v>
      </c>
      <c r="P128" s="15" t="e">
        <v>#N/A</v>
      </c>
      <c r="Q128" s="16" t="e">
        <v>#N/A</v>
      </c>
      <c r="R128" s="16" t="e">
        <v>#N/A</v>
      </c>
      <c r="S128" s="17" t="e">
        <v>#N/A</v>
      </c>
      <c r="T128" s="17" t="e">
        <v>#N/A</v>
      </c>
      <c r="U128" s="18"/>
      <c r="V128" s="18"/>
      <c r="W128" s="18" t="e">
        <v>#N/A</v>
      </c>
      <c r="X128" s="19"/>
      <c r="Y128" s="19"/>
      <c r="Z128" s="19"/>
      <c r="AA128" s="19"/>
    </row>
    <row r="129" spans="1:27" ht="14.25" customHeight="1" x14ac:dyDescent="0.3">
      <c r="A129" s="11">
        <v>128</v>
      </c>
      <c r="B129" s="10">
        <v>5</v>
      </c>
      <c r="C129" s="11" t="s">
        <v>23</v>
      </c>
      <c r="D129" s="10">
        <v>32</v>
      </c>
      <c r="E129" s="10">
        <v>13</v>
      </c>
      <c r="F129" s="10">
        <v>199540</v>
      </c>
      <c r="G129" s="11" t="s">
        <v>30</v>
      </c>
      <c r="H129" s="10">
        <v>442</v>
      </c>
      <c r="I129" s="10">
        <v>74306</v>
      </c>
      <c r="J129" s="10">
        <v>24495519</v>
      </c>
      <c r="K129" s="10">
        <v>89700</v>
      </c>
      <c r="L129" s="12">
        <v>2227878</v>
      </c>
      <c r="M129" s="13">
        <f>+_xlfn.XLOOKUP(D129&amp;"-"&amp;E129,'[1]Listado Lotes'!$K$3:$K$385,'[1]Listado Lotes'!$E$3:$E$385)</f>
        <v>298.69</v>
      </c>
      <c r="N129" s="28" t="s">
        <v>233</v>
      </c>
      <c r="O129" s="14" t="e">
        <v>#N/A</v>
      </c>
      <c r="P129" s="15" t="e">
        <v>#N/A</v>
      </c>
      <c r="Q129" s="16" t="e">
        <v>#N/A</v>
      </c>
      <c r="R129" s="16" t="e">
        <v>#N/A</v>
      </c>
      <c r="S129" s="17" t="e">
        <v>#N/A</v>
      </c>
      <c r="T129" s="17" t="e">
        <v>#N/A</v>
      </c>
      <c r="U129" s="18"/>
      <c r="V129" s="18"/>
      <c r="W129" s="18" t="e">
        <v>#N/A</v>
      </c>
      <c r="X129" s="19"/>
      <c r="Y129" s="19"/>
      <c r="Z129" s="19"/>
      <c r="AA129" s="19"/>
    </row>
    <row r="130" spans="1:27" ht="14.25" customHeight="1" x14ac:dyDescent="0.3">
      <c r="A130" s="11">
        <v>129</v>
      </c>
      <c r="B130" s="10">
        <v>5</v>
      </c>
      <c r="C130" s="11" t="s">
        <v>23</v>
      </c>
      <c r="D130" s="10">
        <v>32</v>
      </c>
      <c r="E130" s="10">
        <v>14</v>
      </c>
      <c r="F130" s="10">
        <v>199541</v>
      </c>
      <c r="G130" s="10">
        <v>46858</v>
      </c>
      <c r="H130" s="10">
        <v>442</v>
      </c>
      <c r="I130" s="10">
        <v>74307</v>
      </c>
      <c r="J130" s="10">
        <v>24495521</v>
      </c>
      <c r="K130" s="10">
        <v>89700</v>
      </c>
      <c r="L130" s="12">
        <v>2227878</v>
      </c>
      <c r="M130" s="13">
        <f>+_xlfn.XLOOKUP(D130&amp;"-"&amp;E130,'[1]Listado Lotes'!$K$3:$K$385,'[1]Listado Lotes'!$E$3:$E$385)</f>
        <v>298.69</v>
      </c>
      <c r="N130" s="28" t="s">
        <v>233</v>
      </c>
      <c r="O130" s="14" t="e">
        <v>#N/A</v>
      </c>
      <c r="P130" s="15" t="e">
        <v>#N/A</v>
      </c>
      <c r="Q130" s="16" t="e">
        <v>#N/A</v>
      </c>
      <c r="R130" s="16" t="e">
        <v>#N/A</v>
      </c>
      <c r="S130" s="17" t="e">
        <v>#N/A</v>
      </c>
      <c r="T130" s="17" t="e">
        <v>#N/A</v>
      </c>
      <c r="U130" s="18"/>
      <c r="V130" s="18"/>
      <c r="W130" s="18" t="e">
        <v>#N/A</v>
      </c>
      <c r="X130" s="19"/>
      <c r="Y130" s="19"/>
      <c r="Z130" s="19"/>
      <c r="AA130" s="19"/>
    </row>
    <row r="131" spans="1:27" ht="14.25" customHeight="1" x14ac:dyDescent="0.3">
      <c r="A131" s="11">
        <v>130</v>
      </c>
      <c r="B131" s="10">
        <v>5</v>
      </c>
      <c r="C131" s="11" t="s">
        <v>23</v>
      </c>
      <c r="D131" s="10">
        <v>32</v>
      </c>
      <c r="E131" s="10">
        <v>15</v>
      </c>
      <c r="F131" s="10">
        <v>199542</v>
      </c>
      <c r="G131" s="10">
        <v>46859</v>
      </c>
      <c r="H131" s="10">
        <v>442</v>
      </c>
      <c r="I131" s="10">
        <v>74308</v>
      </c>
      <c r="J131" s="10">
        <v>24495537</v>
      </c>
      <c r="K131" s="10">
        <v>98241</v>
      </c>
      <c r="L131" s="12">
        <v>2440026</v>
      </c>
      <c r="M131" s="13">
        <f>+_xlfn.XLOOKUP(D131&amp;"-"&amp;E131,'[1]Listado Lotes'!$K$3:$K$385,'[1]Listado Lotes'!$E$3:$E$385)</f>
        <v>229.5</v>
      </c>
      <c r="N131" s="28" t="s">
        <v>233</v>
      </c>
      <c r="O131" s="14" t="e">
        <v>#N/A</v>
      </c>
      <c r="P131" s="15" t="e">
        <v>#N/A</v>
      </c>
      <c r="Q131" s="16" t="e">
        <v>#N/A</v>
      </c>
      <c r="R131" s="16" t="e">
        <v>#N/A</v>
      </c>
      <c r="S131" s="17" t="e">
        <v>#N/A</v>
      </c>
      <c r="T131" s="17" t="e">
        <v>#N/A</v>
      </c>
      <c r="U131" s="18"/>
      <c r="V131" s="18"/>
      <c r="W131" s="18" t="e">
        <v>#N/A</v>
      </c>
      <c r="X131" s="19"/>
      <c r="Y131" s="19"/>
      <c r="Z131" s="19"/>
      <c r="AA131" s="19"/>
    </row>
    <row r="132" spans="1:27" ht="14.25" customHeight="1" x14ac:dyDescent="0.3">
      <c r="A132" s="11">
        <v>131</v>
      </c>
      <c r="B132" s="10">
        <v>5</v>
      </c>
      <c r="C132" s="11" t="s">
        <v>23</v>
      </c>
      <c r="D132" s="10">
        <v>32</v>
      </c>
      <c r="E132" s="10">
        <v>16</v>
      </c>
      <c r="F132" s="10">
        <v>199543</v>
      </c>
      <c r="G132" s="10">
        <v>46860</v>
      </c>
      <c r="H132" s="10">
        <v>442</v>
      </c>
      <c r="I132" s="10">
        <v>74309</v>
      </c>
      <c r="J132" s="10">
        <v>24495601</v>
      </c>
      <c r="K132" s="10">
        <v>75114</v>
      </c>
      <c r="L132" s="12">
        <v>1865606</v>
      </c>
      <c r="M132" s="13">
        <f>+_xlfn.XLOOKUP(D132&amp;"-"&amp;E132,'[1]Listado Lotes'!$K$3:$K$385,'[1]Listado Lotes'!$E$3:$E$385)</f>
        <v>233.98</v>
      </c>
      <c r="N132" s="28" t="s">
        <v>233</v>
      </c>
      <c r="O132" s="14" t="e">
        <v>#N/A</v>
      </c>
      <c r="P132" s="15" t="e">
        <v>#N/A</v>
      </c>
      <c r="Q132" s="16" t="e">
        <v>#N/A</v>
      </c>
      <c r="R132" s="16" t="e">
        <v>#N/A</v>
      </c>
      <c r="S132" s="17" t="e">
        <v>#N/A</v>
      </c>
      <c r="T132" s="17" t="e">
        <v>#N/A</v>
      </c>
      <c r="U132" s="18"/>
      <c r="V132" s="18"/>
      <c r="W132" s="18" t="e">
        <v>#N/A</v>
      </c>
      <c r="X132" s="19"/>
      <c r="Y132" s="19"/>
      <c r="Z132" s="19"/>
      <c r="AA132" s="19"/>
    </row>
    <row r="133" spans="1:27" ht="14.25" customHeight="1" x14ac:dyDescent="0.3">
      <c r="A133" s="11">
        <v>132</v>
      </c>
      <c r="B133" s="10">
        <v>5</v>
      </c>
      <c r="C133" s="11" t="s">
        <v>23</v>
      </c>
      <c r="D133" s="10">
        <v>32</v>
      </c>
      <c r="E133" s="10">
        <v>17</v>
      </c>
      <c r="F133" s="10">
        <v>199544</v>
      </c>
      <c r="G133" s="10">
        <v>46861</v>
      </c>
      <c r="H133" s="10">
        <v>442</v>
      </c>
      <c r="I133" s="10">
        <v>74310</v>
      </c>
      <c r="J133" s="10">
        <v>24495604</v>
      </c>
      <c r="K133" s="10">
        <v>75114</v>
      </c>
      <c r="L133" s="12">
        <v>1865606</v>
      </c>
      <c r="M133" s="13">
        <f>+_xlfn.XLOOKUP(D133&amp;"-"&amp;E133,'[1]Listado Lotes'!$K$3:$K$385,'[1]Listado Lotes'!$E$3:$E$385)</f>
        <v>233.98</v>
      </c>
      <c r="N133" s="28" t="s">
        <v>233</v>
      </c>
      <c r="O133" s="14" t="e">
        <v>#N/A</v>
      </c>
      <c r="P133" s="15" t="e">
        <v>#N/A</v>
      </c>
      <c r="Q133" s="16" t="e">
        <v>#N/A</v>
      </c>
      <c r="R133" s="16" t="e">
        <v>#N/A</v>
      </c>
      <c r="S133" s="17" t="e">
        <v>#N/A</v>
      </c>
      <c r="T133" s="17" t="e">
        <v>#N/A</v>
      </c>
      <c r="U133" s="18"/>
      <c r="V133" s="18"/>
      <c r="W133" s="18" t="e">
        <v>#N/A</v>
      </c>
      <c r="X133" s="19"/>
      <c r="Y133" s="19"/>
      <c r="Z133" s="19"/>
      <c r="AA133" s="19"/>
    </row>
    <row r="134" spans="1:27" ht="14.25" customHeight="1" x14ac:dyDescent="0.3">
      <c r="A134" s="11">
        <v>133</v>
      </c>
      <c r="B134" s="10">
        <v>5</v>
      </c>
      <c r="C134" s="11" t="s">
        <v>23</v>
      </c>
      <c r="D134" s="10">
        <v>32</v>
      </c>
      <c r="E134" s="10">
        <v>18</v>
      </c>
      <c r="F134" s="10">
        <v>199545</v>
      </c>
      <c r="G134" s="10">
        <v>46862</v>
      </c>
      <c r="H134" s="10">
        <v>442</v>
      </c>
      <c r="I134" s="10">
        <v>74311</v>
      </c>
      <c r="J134" s="10">
        <v>24496050</v>
      </c>
      <c r="K134" s="10">
        <v>75114</v>
      </c>
      <c r="L134" s="12">
        <v>1865606</v>
      </c>
      <c r="M134" s="13">
        <f>+_xlfn.XLOOKUP(D134&amp;"-"&amp;E134,'[1]Listado Lotes'!$K$3:$K$385,'[1]Listado Lotes'!$E$3:$E$385)</f>
        <v>233.98</v>
      </c>
      <c r="N134" s="28" t="s">
        <v>233</v>
      </c>
      <c r="O134" s="14" t="e">
        <v>#N/A</v>
      </c>
      <c r="P134" s="15" t="e">
        <v>#N/A</v>
      </c>
      <c r="Q134" s="16" t="e">
        <v>#N/A</v>
      </c>
      <c r="R134" s="16" t="e">
        <v>#N/A</v>
      </c>
      <c r="S134" s="17" t="e">
        <v>#N/A</v>
      </c>
      <c r="T134" s="17" t="e">
        <v>#N/A</v>
      </c>
      <c r="U134" s="18"/>
      <c r="V134" s="18"/>
      <c r="W134" s="18" t="e">
        <v>#N/A</v>
      </c>
      <c r="X134" s="19"/>
      <c r="Y134" s="19"/>
      <c r="Z134" s="19"/>
      <c r="AA134" s="19"/>
    </row>
    <row r="135" spans="1:27" ht="14.25" customHeight="1" x14ac:dyDescent="0.3">
      <c r="A135" s="11">
        <v>134</v>
      </c>
      <c r="B135" s="10">
        <v>5</v>
      </c>
      <c r="C135" s="11" t="s">
        <v>23</v>
      </c>
      <c r="D135" s="10">
        <v>32</v>
      </c>
      <c r="E135" s="10">
        <v>19</v>
      </c>
      <c r="F135" s="10">
        <v>199546</v>
      </c>
      <c r="G135" s="10">
        <v>46863</v>
      </c>
      <c r="H135" s="10">
        <v>442</v>
      </c>
      <c r="I135" s="10">
        <v>74312</v>
      </c>
      <c r="J135" s="10">
        <v>24496038</v>
      </c>
      <c r="K135" s="10">
        <v>75114</v>
      </c>
      <c r="L135" s="12">
        <v>1865606</v>
      </c>
      <c r="M135" s="13">
        <f>+_xlfn.XLOOKUP(D135&amp;"-"&amp;E135,'[1]Listado Lotes'!$K$3:$K$385,'[1]Listado Lotes'!$E$3:$E$385)</f>
        <v>233.98</v>
      </c>
      <c r="N135" s="28" t="s">
        <v>233</v>
      </c>
      <c r="O135" s="14" t="e">
        <v>#N/A</v>
      </c>
      <c r="P135" s="15" t="e">
        <v>#N/A</v>
      </c>
      <c r="Q135" s="16" t="e">
        <v>#N/A</v>
      </c>
      <c r="R135" s="16" t="e">
        <v>#N/A</v>
      </c>
      <c r="S135" s="17" t="e">
        <v>#N/A</v>
      </c>
      <c r="T135" s="17" t="e">
        <v>#N/A</v>
      </c>
      <c r="U135" s="18"/>
      <c r="V135" s="18"/>
      <c r="W135" s="18" t="e">
        <v>#N/A</v>
      </c>
      <c r="X135" s="19"/>
      <c r="Y135" s="19"/>
      <c r="Z135" s="19"/>
      <c r="AA135" s="19"/>
    </row>
    <row r="136" spans="1:27" ht="14.25" customHeight="1" x14ac:dyDescent="0.3">
      <c r="A136" s="11">
        <v>135</v>
      </c>
      <c r="B136" s="10">
        <v>5</v>
      </c>
      <c r="C136" s="11" t="s">
        <v>23</v>
      </c>
      <c r="D136" s="10">
        <v>32</v>
      </c>
      <c r="E136" s="10">
        <v>20</v>
      </c>
      <c r="F136" s="10">
        <v>199547</v>
      </c>
      <c r="G136" s="10">
        <v>46864</v>
      </c>
      <c r="H136" s="10">
        <v>442</v>
      </c>
      <c r="I136" s="10">
        <v>74313</v>
      </c>
      <c r="J136" s="10">
        <v>24496040</v>
      </c>
      <c r="K136" s="10">
        <v>98241</v>
      </c>
      <c r="L136" s="12">
        <v>2440026</v>
      </c>
      <c r="M136" s="13">
        <f>+_xlfn.XLOOKUP(D136&amp;"-"&amp;E136,'[1]Listado Lotes'!$K$3:$K$385,'[1]Listado Lotes'!$E$3:$E$385)</f>
        <v>229.5</v>
      </c>
      <c r="N136" s="28" t="s">
        <v>233</v>
      </c>
      <c r="O136" s="14" t="e">
        <v>#N/A</v>
      </c>
      <c r="P136" s="15" t="e">
        <v>#N/A</v>
      </c>
      <c r="Q136" s="16" t="e">
        <v>#N/A</v>
      </c>
      <c r="R136" s="16" t="e">
        <v>#N/A</v>
      </c>
      <c r="S136" s="17" t="e">
        <v>#N/A</v>
      </c>
      <c r="T136" s="17" t="e">
        <v>#N/A</v>
      </c>
      <c r="U136" s="18"/>
      <c r="V136" s="18"/>
      <c r="W136" s="18" t="e">
        <v>#N/A</v>
      </c>
      <c r="X136" s="19"/>
      <c r="Y136" s="19"/>
      <c r="Z136" s="19"/>
      <c r="AA136" s="19"/>
    </row>
    <row r="137" spans="1:27" ht="14.25" customHeight="1" x14ac:dyDescent="0.3">
      <c r="A137" s="11">
        <v>136</v>
      </c>
      <c r="B137" s="10">
        <v>5</v>
      </c>
      <c r="C137" s="11" t="s">
        <v>23</v>
      </c>
      <c r="D137" s="10">
        <v>32</v>
      </c>
      <c r="E137" s="10">
        <v>21</v>
      </c>
      <c r="F137" s="10">
        <v>199548</v>
      </c>
      <c r="G137" s="10">
        <v>46865</v>
      </c>
      <c r="H137" s="10">
        <v>442</v>
      </c>
      <c r="I137" s="10">
        <v>74314</v>
      </c>
      <c r="J137" s="10">
        <v>24496042</v>
      </c>
      <c r="K137" s="10">
        <v>89700</v>
      </c>
      <c r="L137" s="12">
        <v>2227878</v>
      </c>
      <c r="M137" s="13">
        <f>+_xlfn.XLOOKUP(D137&amp;"-"&amp;E137,'[1]Listado Lotes'!$K$3:$K$385,'[1]Listado Lotes'!$E$3:$E$385)</f>
        <v>298.69</v>
      </c>
      <c r="N137" s="28" t="s">
        <v>233</v>
      </c>
      <c r="O137" s="14" t="e">
        <v>#N/A</v>
      </c>
      <c r="P137" s="15" t="e">
        <v>#N/A</v>
      </c>
      <c r="Q137" s="16" t="e">
        <v>#N/A</v>
      </c>
      <c r="R137" s="16" t="e">
        <v>#N/A</v>
      </c>
      <c r="S137" s="17" t="e">
        <v>#N/A</v>
      </c>
      <c r="T137" s="17" t="e">
        <v>#N/A</v>
      </c>
      <c r="U137" s="18"/>
      <c r="V137" s="18"/>
      <c r="W137" s="18" t="e">
        <v>#N/A</v>
      </c>
      <c r="X137" s="19"/>
      <c r="Y137" s="19"/>
      <c r="Z137" s="19"/>
      <c r="AA137" s="19"/>
    </row>
    <row r="138" spans="1:27" ht="14.25" customHeight="1" x14ac:dyDescent="0.3">
      <c r="A138" s="11">
        <v>137</v>
      </c>
      <c r="B138" s="10">
        <v>5</v>
      </c>
      <c r="C138" s="11" t="s">
        <v>23</v>
      </c>
      <c r="D138" s="10">
        <v>32</v>
      </c>
      <c r="E138" s="10">
        <v>22</v>
      </c>
      <c r="F138" s="10">
        <v>199549</v>
      </c>
      <c r="G138" s="10">
        <v>46866</v>
      </c>
      <c r="H138" s="10">
        <v>442</v>
      </c>
      <c r="I138" s="10">
        <v>74315</v>
      </c>
      <c r="J138" s="10">
        <v>24496043</v>
      </c>
      <c r="K138" s="10">
        <v>89700</v>
      </c>
      <c r="L138" s="12">
        <v>2227878</v>
      </c>
      <c r="M138" s="13">
        <f>+_xlfn.XLOOKUP(D138&amp;"-"&amp;E138,'[1]Listado Lotes'!$K$3:$K$385,'[1]Listado Lotes'!$E$3:$E$385)</f>
        <v>298.69</v>
      </c>
      <c r="N138" s="28" t="s">
        <v>233</v>
      </c>
      <c r="O138" s="14" t="e">
        <v>#N/A</v>
      </c>
      <c r="P138" s="15" t="e">
        <v>#N/A</v>
      </c>
      <c r="Q138" s="16" t="e">
        <v>#N/A</v>
      </c>
      <c r="R138" s="16" t="e">
        <v>#N/A</v>
      </c>
      <c r="S138" s="17" t="e">
        <v>#N/A</v>
      </c>
      <c r="T138" s="17" t="e">
        <v>#N/A</v>
      </c>
      <c r="U138" s="18"/>
      <c r="V138" s="18"/>
      <c r="W138" s="18" t="e">
        <v>#N/A</v>
      </c>
      <c r="X138" s="19"/>
      <c r="Y138" s="19"/>
      <c r="Z138" s="19"/>
      <c r="AA138" s="19"/>
    </row>
    <row r="139" spans="1:27" ht="14.25" customHeight="1" x14ac:dyDescent="0.3">
      <c r="A139" s="11">
        <v>138</v>
      </c>
      <c r="B139" s="10">
        <v>5</v>
      </c>
      <c r="C139" s="11" t="s">
        <v>23</v>
      </c>
      <c r="D139" s="10">
        <v>32</v>
      </c>
      <c r="E139" s="10">
        <v>23</v>
      </c>
      <c r="F139" s="10">
        <v>199550</v>
      </c>
      <c r="G139" s="10">
        <v>46867</v>
      </c>
      <c r="H139" s="10">
        <v>442</v>
      </c>
      <c r="I139" s="10">
        <v>74316</v>
      </c>
      <c r="J139" s="10">
        <v>24496044</v>
      </c>
      <c r="K139" s="10">
        <v>89700</v>
      </c>
      <c r="L139" s="12">
        <v>2227878</v>
      </c>
      <c r="M139" s="13">
        <f>+_xlfn.XLOOKUP(D139&amp;"-"&amp;E139,'[1]Listado Lotes'!$K$3:$K$385,'[1]Listado Lotes'!$E$3:$E$385)</f>
        <v>298.69</v>
      </c>
      <c r="N139" s="28" t="s">
        <v>233</v>
      </c>
      <c r="O139" s="14" t="e">
        <v>#N/A</v>
      </c>
      <c r="P139" s="15" t="e">
        <v>#N/A</v>
      </c>
      <c r="Q139" s="16" t="e">
        <v>#N/A</v>
      </c>
      <c r="R139" s="16" t="e">
        <v>#N/A</v>
      </c>
      <c r="S139" s="17" t="e">
        <v>#N/A</v>
      </c>
      <c r="T139" s="17" t="e">
        <v>#N/A</v>
      </c>
      <c r="U139" s="18"/>
      <c r="V139" s="18"/>
      <c r="W139" s="18" t="e">
        <v>#N/A</v>
      </c>
      <c r="X139" s="19"/>
      <c r="Y139" s="19"/>
      <c r="Z139" s="19"/>
      <c r="AA139" s="19"/>
    </row>
    <row r="140" spans="1:27" ht="14.25" customHeight="1" x14ac:dyDescent="0.3">
      <c r="A140" s="11">
        <v>139</v>
      </c>
      <c r="B140" s="10">
        <v>5</v>
      </c>
      <c r="C140" s="11" t="s">
        <v>23</v>
      </c>
      <c r="D140" s="10">
        <v>32</v>
      </c>
      <c r="E140" s="10">
        <v>24</v>
      </c>
      <c r="F140" s="10">
        <v>199551</v>
      </c>
      <c r="G140" s="10">
        <v>46528</v>
      </c>
      <c r="H140" s="10">
        <v>442</v>
      </c>
      <c r="I140" s="10">
        <v>74317</v>
      </c>
      <c r="J140" s="10">
        <v>24496048</v>
      </c>
      <c r="K140" s="10">
        <v>89700</v>
      </c>
      <c r="L140" s="12">
        <v>2227878</v>
      </c>
      <c r="M140" s="13">
        <f>+_xlfn.XLOOKUP(D140&amp;"-"&amp;E140,'[1]Listado Lotes'!$K$3:$K$385,'[1]Listado Lotes'!$E$3:$E$385)</f>
        <v>298.69</v>
      </c>
      <c r="N140" s="28" t="s">
        <v>233</v>
      </c>
      <c r="O140" s="14" t="e">
        <v>#N/A</v>
      </c>
      <c r="P140" s="15" t="e">
        <v>#N/A</v>
      </c>
      <c r="Q140" s="16" t="e">
        <v>#N/A</v>
      </c>
      <c r="R140" s="16" t="e">
        <v>#N/A</v>
      </c>
      <c r="S140" s="17" t="e">
        <v>#N/A</v>
      </c>
      <c r="T140" s="17" t="e">
        <v>#N/A</v>
      </c>
      <c r="U140" s="18"/>
      <c r="V140" s="18"/>
      <c r="W140" s="18" t="e">
        <v>#N/A</v>
      </c>
      <c r="X140" s="19"/>
      <c r="Y140" s="19"/>
      <c r="Z140" s="19"/>
      <c r="AA140" s="19"/>
    </row>
    <row r="141" spans="1:27" ht="14.25" customHeight="1" x14ac:dyDescent="0.3">
      <c r="A141" s="11">
        <v>140</v>
      </c>
      <c r="B141" s="10">
        <v>5</v>
      </c>
      <c r="C141" s="11" t="s">
        <v>23</v>
      </c>
      <c r="D141" s="10">
        <v>32</v>
      </c>
      <c r="E141" s="10">
        <v>25</v>
      </c>
      <c r="F141" s="10">
        <v>199552</v>
      </c>
      <c r="G141" s="10">
        <v>46529</v>
      </c>
      <c r="H141" s="10">
        <v>442</v>
      </c>
      <c r="I141" s="10">
        <v>74318</v>
      </c>
      <c r="J141" s="10">
        <v>24496052</v>
      </c>
      <c r="K141" s="10">
        <v>89700</v>
      </c>
      <c r="L141" s="12">
        <v>2227878</v>
      </c>
      <c r="M141" s="13">
        <f>+_xlfn.XLOOKUP(D141&amp;"-"&amp;E141,'[1]Listado Lotes'!$K$3:$K$385,'[1]Listado Lotes'!$E$3:$E$385)</f>
        <v>298.69</v>
      </c>
      <c r="N141" s="28" t="s">
        <v>233</v>
      </c>
      <c r="O141" s="14" t="e">
        <v>#N/A</v>
      </c>
      <c r="P141" s="15" t="e">
        <v>#N/A</v>
      </c>
      <c r="Q141" s="16" t="e">
        <v>#N/A</v>
      </c>
      <c r="R141" s="16" t="e">
        <v>#N/A</v>
      </c>
      <c r="S141" s="17" t="e">
        <v>#N/A</v>
      </c>
      <c r="T141" s="17" t="e">
        <v>#N/A</v>
      </c>
      <c r="U141" s="18"/>
      <c r="V141" s="18"/>
      <c r="W141" s="18" t="e">
        <v>#N/A</v>
      </c>
      <c r="X141" s="19"/>
      <c r="Y141" s="19"/>
      <c r="Z141" s="19"/>
      <c r="AA141" s="19"/>
    </row>
    <row r="142" spans="1:27" ht="14.25" customHeight="1" x14ac:dyDescent="0.3">
      <c r="A142" s="11">
        <v>141</v>
      </c>
      <c r="B142" s="10">
        <v>5</v>
      </c>
      <c r="C142" s="11" t="s">
        <v>23</v>
      </c>
      <c r="D142" s="10">
        <v>32</v>
      </c>
      <c r="E142" s="10">
        <v>26</v>
      </c>
      <c r="F142" s="10">
        <v>199553</v>
      </c>
      <c r="G142" s="10">
        <v>46530</v>
      </c>
      <c r="H142" s="10">
        <v>442</v>
      </c>
      <c r="I142" s="10">
        <v>74319</v>
      </c>
      <c r="J142" s="10">
        <v>24496055</v>
      </c>
      <c r="K142" s="10">
        <v>89700</v>
      </c>
      <c r="L142" s="12">
        <v>2227878</v>
      </c>
      <c r="M142" s="13">
        <f>+_xlfn.XLOOKUP(D142&amp;"-"&amp;E142,'[1]Listado Lotes'!$K$3:$K$385,'[1]Listado Lotes'!$E$3:$E$385)</f>
        <v>298.69</v>
      </c>
      <c r="N142" s="28" t="s">
        <v>233</v>
      </c>
      <c r="O142" s="14" t="e">
        <v>#N/A</v>
      </c>
      <c r="P142" s="15" t="e">
        <v>#N/A</v>
      </c>
      <c r="Q142" s="16" t="e">
        <v>#N/A</v>
      </c>
      <c r="R142" s="16" t="e">
        <v>#N/A</v>
      </c>
      <c r="S142" s="17" t="e">
        <v>#N/A</v>
      </c>
      <c r="T142" s="17" t="e">
        <v>#N/A</v>
      </c>
      <c r="U142" s="18"/>
      <c r="V142" s="18"/>
      <c r="W142" s="18" t="e">
        <v>#N/A</v>
      </c>
      <c r="X142" s="19"/>
      <c r="Y142" s="19"/>
      <c r="Z142" s="19"/>
      <c r="AA142" s="19"/>
    </row>
    <row r="143" spans="1:27" ht="14.25" customHeight="1" x14ac:dyDescent="0.3">
      <c r="A143" s="11">
        <v>142</v>
      </c>
      <c r="B143" s="10">
        <v>5</v>
      </c>
      <c r="C143" s="11" t="s">
        <v>23</v>
      </c>
      <c r="D143" s="10">
        <v>32</v>
      </c>
      <c r="E143" s="10">
        <v>27</v>
      </c>
      <c r="F143" s="10">
        <v>199554</v>
      </c>
      <c r="G143" s="10">
        <v>46531</v>
      </c>
      <c r="H143" s="10">
        <v>442</v>
      </c>
      <c r="I143" s="10">
        <v>74320</v>
      </c>
      <c r="J143" s="10">
        <v>24496072</v>
      </c>
      <c r="K143" s="10">
        <v>89700</v>
      </c>
      <c r="L143" s="12">
        <v>2227878</v>
      </c>
      <c r="M143" s="13">
        <f>+_xlfn.XLOOKUP(D143&amp;"-"&amp;E143,'[1]Listado Lotes'!$K$3:$K$385,'[1]Listado Lotes'!$E$3:$E$385)</f>
        <v>298.69</v>
      </c>
      <c r="N143" s="28" t="s">
        <v>233</v>
      </c>
      <c r="O143" s="14" t="e">
        <v>#N/A</v>
      </c>
      <c r="P143" s="15" t="e">
        <v>#N/A</v>
      </c>
      <c r="Q143" s="16" t="e">
        <v>#N/A</v>
      </c>
      <c r="R143" s="16" t="e">
        <v>#N/A</v>
      </c>
      <c r="S143" s="17" t="e">
        <v>#N/A</v>
      </c>
      <c r="T143" s="17" t="e">
        <v>#N/A</v>
      </c>
      <c r="U143" s="18"/>
      <c r="V143" s="18"/>
      <c r="W143" s="18" t="e">
        <v>#N/A</v>
      </c>
      <c r="X143" s="19"/>
      <c r="Y143" s="19"/>
      <c r="Z143" s="19"/>
      <c r="AA143" s="19"/>
    </row>
    <row r="144" spans="1:27" ht="14.25" customHeight="1" x14ac:dyDescent="0.3">
      <c r="A144" s="11">
        <v>143</v>
      </c>
      <c r="B144" s="10">
        <v>5</v>
      </c>
      <c r="C144" s="11" t="s">
        <v>23</v>
      </c>
      <c r="D144" s="10">
        <v>32</v>
      </c>
      <c r="E144" s="10">
        <v>28</v>
      </c>
      <c r="F144" s="10">
        <v>199555</v>
      </c>
      <c r="G144" s="10">
        <v>46532</v>
      </c>
      <c r="H144" s="10">
        <v>442</v>
      </c>
      <c r="I144" s="10">
        <v>74321</v>
      </c>
      <c r="J144" s="10">
        <v>24496074</v>
      </c>
      <c r="K144" s="10">
        <v>89700</v>
      </c>
      <c r="L144" s="12">
        <v>2227878</v>
      </c>
      <c r="M144" s="13">
        <f>+_xlfn.XLOOKUP(D144&amp;"-"&amp;E144,'[1]Listado Lotes'!$K$3:$K$385,'[1]Listado Lotes'!$E$3:$E$385)</f>
        <v>298.69</v>
      </c>
      <c r="N144" s="28" t="s">
        <v>233</v>
      </c>
      <c r="O144" s="14" t="e">
        <v>#N/A</v>
      </c>
      <c r="P144" s="15" t="e">
        <v>#N/A</v>
      </c>
      <c r="Q144" s="16" t="e">
        <v>#N/A</v>
      </c>
      <c r="R144" s="16" t="e">
        <v>#N/A</v>
      </c>
      <c r="S144" s="17" t="e">
        <v>#N/A</v>
      </c>
      <c r="T144" s="17" t="e">
        <v>#N/A</v>
      </c>
      <c r="U144" s="18"/>
      <c r="V144" s="18"/>
      <c r="W144" s="18" t="e">
        <v>#N/A</v>
      </c>
      <c r="X144" s="19"/>
      <c r="Y144" s="19"/>
      <c r="Z144" s="19"/>
      <c r="AA144" s="19"/>
    </row>
    <row r="145" spans="1:27" ht="14.25" customHeight="1" x14ac:dyDescent="0.3">
      <c r="A145" s="11">
        <v>144</v>
      </c>
      <c r="B145" s="10">
        <v>5</v>
      </c>
      <c r="C145" s="11" t="s">
        <v>23</v>
      </c>
      <c r="D145" s="10">
        <v>33</v>
      </c>
      <c r="E145" s="10">
        <v>1</v>
      </c>
      <c r="F145" s="10">
        <v>199634</v>
      </c>
      <c r="G145" s="10">
        <v>46533</v>
      </c>
      <c r="H145" s="10">
        <v>442</v>
      </c>
      <c r="I145" s="10">
        <v>74258</v>
      </c>
      <c r="J145" s="10">
        <v>24496078</v>
      </c>
      <c r="K145" s="10">
        <v>93432</v>
      </c>
      <c r="L145" s="12">
        <v>2320570</v>
      </c>
      <c r="M145" s="13">
        <f>+_xlfn.XLOOKUP(D145&amp;"-"&amp;E145,'[1]Listado Lotes'!$K$3:$K$385,'[1]Listado Lotes'!$E$3:$E$385)</f>
        <v>229.5</v>
      </c>
      <c r="N145" s="20" t="s">
        <v>24</v>
      </c>
      <c r="O145" s="21">
        <v>13500</v>
      </c>
      <c r="P145" s="22">
        <v>58.951965065502186</v>
      </c>
      <c r="Q145" s="23">
        <v>0.3</v>
      </c>
      <c r="R145" s="24">
        <v>0.01</v>
      </c>
      <c r="S145" s="25">
        <v>4050</v>
      </c>
      <c r="T145" s="25">
        <v>9450</v>
      </c>
      <c r="U145" s="26">
        <v>291.375</v>
      </c>
      <c r="V145" s="26">
        <v>252</v>
      </c>
      <c r="W145" s="18" t="s">
        <v>28</v>
      </c>
      <c r="X145" s="19"/>
      <c r="Y145" s="19"/>
      <c r="Z145" s="19"/>
      <c r="AA145" s="19"/>
    </row>
    <row r="146" spans="1:27" ht="14.25" customHeight="1" x14ac:dyDescent="0.3">
      <c r="A146" s="11">
        <v>145</v>
      </c>
      <c r="B146" s="10">
        <v>5</v>
      </c>
      <c r="C146" s="11" t="s">
        <v>23</v>
      </c>
      <c r="D146" s="10">
        <v>33</v>
      </c>
      <c r="E146" s="10">
        <v>2</v>
      </c>
      <c r="F146" s="10">
        <v>199635</v>
      </c>
      <c r="G146" s="10">
        <v>46534</v>
      </c>
      <c r="H146" s="10">
        <v>442</v>
      </c>
      <c r="I146" s="10">
        <v>74259</v>
      </c>
      <c r="J146" s="10">
        <v>24496080</v>
      </c>
      <c r="K146" s="10">
        <v>75114</v>
      </c>
      <c r="L146" s="12">
        <v>1865606</v>
      </c>
      <c r="M146" s="13">
        <f>+_xlfn.XLOOKUP(D146&amp;"-"&amp;E146,'[1]Listado Lotes'!$K$3:$K$385,'[1]Listado Lotes'!$E$3:$E$385)</f>
        <v>233.98</v>
      </c>
      <c r="N146" s="20" t="s">
        <v>24</v>
      </c>
      <c r="O146" s="21">
        <v>13500</v>
      </c>
      <c r="P146" s="22">
        <v>57.692307692307693</v>
      </c>
      <c r="Q146" s="23">
        <v>0.3</v>
      </c>
      <c r="R146" s="24">
        <v>0.01</v>
      </c>
      <c r="S146" s="25">
        <v>4050</v>
      </c>
      <c r="T146" s="25">
        <v>9450</v>
      </c>
      <c r="U146" s="26">
        <v>291.375</v>
      </c>
      <c r="V146" s="26">
        <v>252</v>
      </c>
      <c r="W146" s="18" t="s">
        <v>28</v>
      </c>
      <c r="X146" s="19"/>
      <c r="Y146" s="19"/>
      <c r="Z146" s="19"/>
      <c r="AA146" s="19"/>
    </row>
    <row r="147" spans="1:27" ht="14.25" customHeight="1" x14ac:dyDescent="0.3">
      <c r="A147" s="11">
        <v>146</v>
      </c>
      <c r="B147" s="10">
        <v>5</v>
      </c>
      <c r="C147" s="11" t="s">
        <v>23</v>
      </c>
      <c r="D147" s="10">
        <v>33</v>
      </c>
      <c r="E147" s="10">
        <v>3</v>
      </c>
      <c r="F147" s="10">
        <v>199636</v>
      </c>
      <c r="G147" s="11" t="s">
        <v>31</v>
      </c>
      <c r="H147" s="10">
        <v>442</v>
      </c>
      <c r="I147" s="10">
        <v>74260</v>
      </c>
      <c r="J147" s="10">
        <v>24496083</v>
      </c>
      <c r="K147" s="10">
        <v>75114</v>
      </c>
      <c r="L147" s="12">
        <v>1865606</v>
      </c>
      <c r="M147" s="13">
        <f>+_xlfn.XLOOKUP(D147&amp;"-"&amp;E147,'[1]Listado Lotes'!$K$3:$K$385,'[1]Listado Lotes'!$E$3:$E$385)</f>
        <v>233.98</v>
      </c>
      <c r="N147" s="20" t="s">
        <v>24</v>
      </c>
      <c r="O147" s="21">
        <v>13500</v>
      </c>
      <c r="P147" s="22">
        <v>57.692307692307693</v>
      </c>
      <c r="Q147" s="23">
        <v>0.3</v>
      </c>
      <c r="R147" s="24">
        <v>0.01</v>
      </c>
      <c r="S147" s="25">
        <v>4050</v>
      </c>
      <c r="T147" s="25">
        <v>9450</v>
      </c>
      <c r="U147" s="26">
        <v>291.375</v>
      </c>
      <c r="V147" s="26">
        <v>252</v>
      </c>
      <c r="W147" s="18" t="s">
        <v>28</v>
      </c>
      <c r="X147" s="19"/>
      <c r="Y147" s="19"/>
      <c r="Z147" s="19"/>
      <c r="AA147" s="19"/>
    </row>
    <row r="148" spans="1:27" ht="14.25" customHeight="1" x14ac:dyDescent="0.3">
      <c r="A148" s="11">
        <v>147</v>
      </c>
      <c r="B148" s="10">
        <v>5</v>
      </c>
      <c r="C148" s="11" t="s">
        <v>23</v>
      </c>
      <c r="D148" s="10">
        <v>33</v>
      </c>
      <c r="E148" s="10">
        <v>4</v>
      </c>
      <c r="F148" s="10">
        <v>199637</v>
      </c>
      <c r="G148" s="11" t="s">
        <v>32</v>
      </c>
      <c r="H148" s="10">
        <v>442</v>
      </c>
      <c r="I148" s="10">
        <v>74261</v>
      </c>
      <c r="J148" s="10">
        <v>24496090</v>
      </c>
      <c r="K148" s="10">
        <v>75114</v>
      </c>
      <c r="L148" s="12">
        <v>1865606</v>
      </c>
      <c r="M148" s="13">
        <f>+_xlfn.XLOOKUP(D148&amp;"-"&amp;E148,'[1]Listado Lotes'!$K$3:$K$385,'[1]Listado Lotes'!$E$3:$E$385)</f>
        <v>233.98</v>
      </c>
      <c r="N148" s="20" t="s">
        <v>24</v>
      </c>
      <c r="O148" s="21">
        <v>13500</v>
      </c>
      <c r="P148" s="22">
        <v>57.692307692307693</v>
      </c>
      <c r="Q148" s="23">
        <v>0.3</v>
      </c>
      <c r="R148" s="24">
        <v>0.01</v>
      </c>
      <c r="S148" s="25">
        <v>4050</v>
      </c>
      <c r="T148" s="25">
        <v>9450</v>
      </c>
      <c r="U148" s="26">
        <v>291.375</v>
      </c>
      <c r="V148" s="26">
        <v>252</v>
      </c>
      <c r="W148" s="18" t="s">
        <v>28</v>
      </c>
      <c r="X148" s="19"/>
      <c r="Y148" s="19"/>
      <c r="Z148" s="19"/>
      <c r="AA148" s="19"/>
    </row>
    <row r="149" spans="1:27" ht="14.25" customHeight="1" x14ac:dyDescent="0.3">
      <c r="A149" s="11">
        <v>148</v>
      </c>
      <c r="B149" s="10">
        <v>5</v>
      </c>
      <c r="C149" s="11" t="s">
        <v>23</v>
      </c>
      <c r="D149" s="10">
        <v>33</v>
      </c>
      <c r="E149" s="10">
        <v>5</v>
      </c>
      <c r="F149" s="10">
        <v>199638</v>
      </c>
      <c r="G149" s="11" t="s">
        <v>33</v>
      </c>
      <c r="H149" s="10">
        <v>442</v>
      </c>
      <c r="I149" s="10">
        <v>74262</v>
      </c>
      <c r="J149" s="10">
        <v>24496133</v>
      </c>
      <c r="K149" s="10">
        <v>75114</v>
      </c>
      <c r="L149" s="12">
        <v>1865606</v>
      </c>
      <c r="M149" s="13">
        <f>+_xlfn.XLOOKUP(D149&amp;"-"&amp;E149,'[1]Listado Lotes'!$K$3:$K$385,'[1]Listado Lotes'!$E$3:$E$385)</f>
        <v>233.98</v>
      </c>
      <c r="N149" s="20" t="s">
        <v>24</v>
      </c>
      <c r="O149" s="21">
        <v>13500</v>
      </c>
      <c r="P149" s="22">
        <v>57.692307692307693</v>
      </c>
      <c r="Q149" s="23">
        <v>0.3</v>
      </c>
      <c r="R149" s="24">
        <v>0.01</v>
      </c>
      <c r="S149" s="25">
        <v>4050</v>
      </c>
      <c r="T149" s="25">
        <v>9450</v>
      </c>
      <c r="U149" s="26">
        <v>291.375</v>
      </c>
      <c r="V149" s="26">
        <v>252</v>
      </c>
      <c r="W149" s="18" t="s">
        <v>28</v>
      </c>
      <c r="X149" s="19"/>
      <c r="Y149" s="19"/>
      <c r="Z149" s="19"/>
      <c r="AA149" s="19"/>
    </row>
    <row r="150" spans="1:27" ht="14.25" customHeight="1" x14ac:dyDescent="0.3">
      <c r="A150" s="11">
        <v>149</v>
      </c>
      <c r="B150" s="10">
        <v>5</v>
      </c>
      <c r="C150" s="11" t="s">
        <v>23</v>
      </c>
      <c r="D150" s="10">
        <v>33</v>
      </c>
      <c r="E150" s="10">
        <v>6</v>
      </c>
      <c r="F150" s="10">
        <v>199639</v>
      </c>
      <c r="G150" s="11" t="s">
        <v>34</v>
      </c>
      <c r="H150" s="10">
        <v>442</v>
      </c>
      <c r="I150" s="10">
        <v>74263</v>
      </c>
      <c r="J150" s="10">
        <v>24496137</v>
      </c>
      <c r="K150" s="10">
        <v>93432</v>
      </c>
      <c r="L150" s="12">
        <v>2320570</v>
      </c>
      <c r="M150" s="13">
        <f>+_xlfn.XLOOKUP(D150&amp;"-"&amp;E150,'[1]Listado Lotes'!$K$3:$K$385,'[1]Listado Lotes'!$E$3:$E$385)</f>
        <v>229.5</v>
      </c>
      <c r="N150" s="20" t="s">
        <v>24</v>
      </c>
      <c r="O150" s="21">
        <v>13500</v>
      </c>
      <c r="P150" s="22">
        <v>58.951965065502186</v>
      </c>
      <c r="Q150" s="23">
        <v>0.3</v>
      </c>
      <c r="R150" s="24">
        <v>0.01</v>
      </c>
      <c r="S150" s="25">
        <v>4050</v>
      </c>
      <c r="T150" s="25">
        <v>9450</v>
      </c>
      <c r="U150" s="26">
        <v>291.375</v>
      </c>
      <c r="V150" s="26">
        <v>252</v>
      </c>
      <c r="W150" s="18" t="s">
        <v>28</v>
      </c>
      <c r="X150" s="19"/>
      <c r="Y150" s="19"/>
      <c r="Z150" s="19"/>
      <c r="AA150" s="19"/>
    </row>
    <row r="151" spans="1:27" ht="14.25" customHeight="1" x14ac:dyDescent="0.3">
      <c r="A151" s="11">
        <v>150</v>
      </c>
      <c r="B151" s="10">
        <v>5</v>
      </c>
      <c r="C151" s="11" t="s">
        <v>23</v>
      </c>
      <c r="D151" s="10">
        <v>33</v>
      </c>
      <c r="E151" s="10">
        <v>7</v>
      </c>
      <c r="F151" s="10">
        <v>199640</v>
      </c>
      <c r="G151" s="11" t="s">
        <v>35</v>
      </c>
      <c r="H151" s="10">
        <v>442</v>
      </c>
      <c r="I151" s="10">
        <v>74264</v>
      </c>
      <c r="J151" s="10">
        <v>24496140</v>
      </c>
      <c r="K151" s="10">
        <v>89700</v>
      </c>
      <c r="L151" s="12">
        <v>2227878</v>
      </c>
      <c r="M151" s="13">
        <f>+_xlfn.XLOOKUP(D151&amp;"-"&amp;E151,'[1]Listado Lotes'!$K$3:$K$385,'[1]Listado Lotes'!$E$3:$E$385)</f>
        <v>298.69</v>
      </c>
      <c r="N151" s="20" t="s">
        <v>24</v>
      </c>
      <c r="O151" s="21">
        <v>15000</v>
      </c>
      <c r="P151" s="22">
        <v>50.167224080267559</v>
      </c>
      <c r="Q151" s="23">
        <v>0.3</v>
      </c>
      <c r="R151" s="24">
        <v>0.01</v>
      </c>
      <c r="S151" s="25">
        <v>4500</v>
      </c>
      <c r="T151" s="25">
        <v>10500</v>
      </c>
      <c r="U151" s="26">
        <v>323.75</v>
      </c>
      <c r="V151" s="26">
        <v>280</v>
      </c>
      <c r="W151" s="18" t="s">
        <v>26</v>
      </c>
      <c r="X151" s="19"/>
      <c r="Y151" s="19"/>
      <c r="Z151" s="19"/>
      <c r="AA151" s="19"/>
    </row>
    <row r="152" spans="1:27" ht="14.25" customHeight="1" x14ac:dyDescent="0.3">
      <c r="A152" s="11">
        <v>151</v>
      </c>
      <c r="B152" s="10">
        <v>5</v>
      </c>
      <c r="C152" s="11" t="s">
        <v>23</v>
      </c>
      <c r="D152" s="10">
        <v>33</v>
      </c>
      <c r="E152" s="10">
        <v>8</v>
      </c>
      <c r="F152" s="10">
        <v>199641</v>
      </c>
      <c r="G152" s="11" t="s">
        <v>36</v>
      </c>
      <c r="H152" s="10">
        <v>442</v>
      </c>
      <c r="I152" s="10">
        <v>74265</v>
      </c>
      <c r="J152" s="10">
        <v>24496141</v>
      </c>
      <c r="K152" s="10">
        <v>89700</v>
      </c>
      <c r="L152" s="12">
        <v>2227878</v>
      </c>
      <c r="M152" s="13">
        <f>+_xlfn.XLOOKUP(D152&amp;"-"&amp;E152,'[1]Listado Lotes'!$K$3:$K$385,'[1]Listado Lotes'!$E$3:$E$385)</f>
        <v>298.69</v>
      </c>
      <c r="N152" s="20" t="s">
        <v>24</v>
      </c>
      <c r="O152" s="21">
        <v>15000</v>
      </c>
      <c r="P152" s="22">
        <v>50.167224080267559</v>
      </c>
      <c r="Q152" s="23">
        <v>0.3</v>
      </c>
      <c r="R152" s="24">
        <v>0.01</v>
      </c>
      <c r="S152" s="25">
        <v>4500</v>
      </c>
      <c r="T152" s="25">
        <v>10500</v>
      </c>
      <c r="U152" s="26">
        <v>323.75</v>
      </c>
      <c r="V152" s="26">
        <v>280</v>
      </c>
      <c r="W152" s="18" t="s">
        <v>26</v>
      </c>
      <c r="X152" s="19"/>
      <c r="Y152" s="19"/>
      <c r="Z152" s="19"/>
      <c r="AA152" s="19"/>
    </row>
    <row r="153" spans="1:27" ht="14.25" customHeight="1" x14ac:dyDescent="0.3">
      <c r="A153" s="11">
        <v>152</v>
      </c>
      <c r="B153" s="10">
        <v>5</v>
      </c>
      <c r="C153" s="11" t="s">
        <v>23</v>
      </c>
      <c r="D153" s="10">
        <v>33</v>
      </c>
      <c r="E153" s="10">
        <v>9</v>
      </c>
      <c r="F153" s="10">
        <v>199642</v>
      </c>
      <c r="G153" s="11" t="s">
        <v>37</v>
      </c>
      <c r="H153" s="10">
        <v>442</v>
      </c>
      <c r="I153" s="10">
        <v>74266</v>
      </c>
      <c r="J153" s="10">
        <v>24496143</v>
      </c>
      <c r="K153" s="10">
        <v>89700</v>
      </c>
      <c r="L153" s="12">
        <v>2227878</v>
      </c>
      <c r="M153" s="13">
        <f>+_xlfn.XLOOKUP(D153&amp;"-"&amp;E153,'[1]Listado Lotes'!$K$3:$K$385,'[1]Listado Lotes'!$E$3:$E$385)</f>
        <v>298.69</v>
      </c>
      <c r="N153" s="20" t="s">
        <v>24</v>
      </c>
      <c r="O153" s="21">
        <v>15000</v>
      </c>
      <c r="P153" s="22">
        <v>50.167224080267559</v>
      </c>
      <c r="Q153" s="23">
        <v>0.3</v>
      </c>
      <c r="R153" s="24">
        <v>0.01</v>
      </c>
      <c r="S153" s="25">
        <v>4500</v>
      </c>
      <c r="T153" s="25">
        <v>10500</v>
      </c>
      <c r="U153" s="26">
        <v>323.75</v>
      </c>
      <c r="V153" s="26">
        <v>280</v>
      </c>
      <c r="W153" s="18" t="s">
        <v>26</v>
      </c>
      <c r="X153" s="19"/>
      <c r="Y153" s="19"/>
      <c r="Z153" s="19"/>
      <c r="AA153" s="19"/>
    </row>
    <row r="154" spans="1:27" ht="14.25" customHeight="1" x14ac:dyDescent="0.3">
      <c r="A154" s="11">
        <v>153</v>
      </c>
      <c r="B154" s="10">
        <v>5</v>
      </c>
      <c r="C154" s="11" t="s">
        <v>23</v>
      </c>
      <c r="D154" s="10">
        <v>33</v>
      </c>
      <c r="E154" s="10">
        <v>10</v>
      </c>
      <c r="F154" s="10">
        <v>199643</v>
      </c>
      <c r="G154" s="11" t="s">
        <v>38</v>
      </c>
      <c r="H154" s="10">
        <v>442</v>
      </c>
      <c r="I154" s="10">
        <v>74267</v>
      </c>
      <c r="J154" s="10">
        <v>24496149</v>
      </c>
      <c r="K154" s="10">
        <v>89700</v>
      </c>
      <c r="L154" s="12">
        <v>2227878</v>
      </c>
      <c r="M154" s="13">
        <f>+_xlfn.XLOOKUP(D154&amp;"-"&amp;E154,'[1]Listado Lotes'!$K$3:$K$385,'[1]Listado Lotes'!$E$3:$E$385)</f>
        <v>298.69</v>
      </c>
      <c r="N154" s="20" t="s">
        <v>24</v>
      </c>
      <c r="O154" s="21">
        <v>15000</v>
      </c>
      <c r="P154" s="22">
        <v>50.167224080267559</v>
      </c>
      <c r="Q154" s="23">
        <v>0.3</v>
      </c>
      <c r="R154" s="24">
        <v>0.01</v>
      </c>
      <c r="S154" s="25">
        <v>4500</v>
      </c>
      <c r="T154" s="25">
        <v>10500</v>
      </c>
      <c r="U154" s="26">
        <v>323.75</v>
      </c>
      <c r="V154" s="26">
        <v>280</v>
      </c>
      <c r="W154" s="18" t="s">
        <v>26</v>
      </c>
      <c r="X154" s="19"/>
      <c r="Y154" s="19"/>
      <c r="Z154" s="19"/>
      <c r="AA154" s="19"/>
    </row>
    <row r="155" spans="1:27" ht="14.25" customHeight="1" x14ac:dyDescent="0.3">
      <c r="A155" s="11">
        <v>154</v>
      </c>
      <c r="B155" s="10">
        <v>5</v>
      </c>
      <c r="C155" s="11" t="s">
        <v>23</v>
      </c>
      <c r="D155" s="10">
        <v>33</v>
      </c>
      <c r="E155" s="10">
        <v>11</v>
      </c>
      <c r="F155" s="10">
        <v>199644</v>
      </c>
      <c r="G155" s="11" t="s">
        <v>39</v>
      </c>
      <c r="H155" s="10">
        <v>442</v>
      </c>
      <c r="I155" s="10">
        <v>74268</v>
      </c>
      <c r="J155" s="10">
        <v>24496151</v>
      </c>
      <c r="K155" s="10">
        <v>89700</v>
      </c>
      <c r="L155" s="12">
        <v>2227878</v>
      </c>
      <c r="M155" s="13">
        <f>+_xlfn.XLOOKUP(D155&amp;"-"&amp;E155,'[1]Listado Lotes'!$K$3:$K$385,'[1]Listado Lotes'!$E$3:$E$385)</f>
        <v>298.69</v>
      </c>
      <c r="N155" s="20" t="s">
        <v>24</v>
      </c>
      <c r="O155" s="21">
        <v>15000</v>
      </c>
      <c r="P155" s="22">
        <v>50.167224080267559</v>
      </c>
      <c r="Q155" s="23">
        <v>0.3</v>
      </c>
      <c r="R155" s="24">
        <v>0.01</v>
      </c>
      <c r="S155" s="25">
        <v>4500</v>
      </c>
      <c r="T155" s="25">
        <v>10500</v>
      </c>
      <c r="U155" s="26">
        <v>323.75</v>
      </c>
      <c r="V155" s="26">
        <v>280</v>
      </c>
      <c r="W155" s="18" t="s">
        <v>26</v>
      </c>
      <c r="X155" s="19"/>
      <c r="Y155" s="19"/>
      <c r="Z155" s="19"/>
      <c r="AA155" s="19"/>
    </row>
    <row r="156" spans="1:27" ht="14.25" customHeight="1" x14ac:dyDescent="0.3">
      <c r="A156" s="11">
        <v>155</v>
      </c>
      <c r="B156" s="10">
        <v>5</v>
      </c>
      <c r="C156" s="11" t="s">
        <v>23</v>
      </c>
      <c r="D156" s="10">
        <v>33</v>
      </c>
      <c r="E156" s="10">
        <v>12</v>
      </c>
      <c r="F156" s="10">
        <v>199645</v>
      </c>
      <c r="G156" s="11" t="s">
        <v>40</v>
      </c>
      <c r="H156" s="10">
        <v>442</v>
      </c>
      <c r="I156" s="10">
        <v>74269</v>
      </c>
      <c r="J156" s="10">
        <v>24496171</v>
      </c>
      <c r="K156" s="10">
        <v>89700</v>
      </c>
      <c r="L156" s="12">
        <v>2227878</v>
      </c>
      <c r="M156" s="13">
        <f>+_xlfn.XLOOKUP(D156&amp;"-"&amp;E156,'[1]Listado Lotes'!$K$3:$K$385,'[1]Listado Lotes'!$E$3:$E$385)</f>
        <v>298.69</v>
      </c>
      <c r="N156" s="20" t="s">
        <v>24</v>
      </c>
      <c r="O156" s="21">
        <v>15000</v>
      </c>
      <c r="P156" s="22">
        <v>50.167224080267559</v>
      </c>
      <c r="Q156" s="23">
        <v>0.3</v>
      </c>
      <c r="R156" s="24">
        <v>0.01</v>
      </c>
      <c r="S156" s="25">
        <v>4500</v>
      </c>
      <c r="T156" s="25">
        <v>10500</v>
      </c>
      <c r="U156" s="26">
        <v>323.75</v>
      </c>
      <c r="V156" s="26">
        <v>280</v>
      </c>
      <c r="W156" s="18" t="s">
        <v>26</v>
      </c>
      <c r="X156" s="19"/>
      <c r="Y156" s="19"/>
      <c r="Z156" s="19"/>
      <c r="AA156" s="19"/>
    </row>
    <row r="157" spans="1:27" ht="14.25" customHeight="1" x14ac:dyDescent="0.3">
      <c r="A157" s="11">
        <v>156</v>
      </c>
      <c r="B157" s="10">
        <v>5</v>
      </c>
      <c r="C157" s="11" t="s">
        <v>23</v>
      </c>
      <c r="D157" s="10">
        <v>33</v>
      </c>
      <c r="E157" s="10">
        <v>13</v>
      </c>
      <c r="F157" s="10">
        <v>199646</v>
      </c>
      <c r="G157" s="11" t="s">
        <v>41</v>
      </c>
      <c r="H157" s="10">
        <v>442</v>
      </c>
      <c r="I157" s="10">
        <v>74270</v>
      </c>
      <c r="J157" s="10">
        <v>24496206</v>
      </c>
      <c r="K157" s="10">
        <v>89700</v>
      </c>
      <c r="L157" s="12">
        <v>2227878</v>
      </c>
      <c r="M157" s="13">
        <f>+_xlfn.XLOOKUP(D157&amp;"-"&amp;E157,'[1]Listado Lotes'!$K$3:$K$385,'[1]Listado Lotes'!$E$3:$E$385)</f>
        <v>298.69</v>
      </c>
      <c r="N157" s="27" t="s">
        <v>42</v>
      </c>
      <c r="O157" s="21">
        <v>15000</v>
      </c>
      <c r="P157" s="22">
        <v>50.167224080267559</v>
      </c>
      <c r="Q157" s="23">
        <v>0.3</v>
      </c>
      <c r="R157" s="24">
        <v>0.01</v>
      </c>
      <c r="S157" s="25">
        <v>4500</v>
      </c>
      <c r="T157" s="25">
        <v>10500</v>
      </c>
      <c r="U157" s="26">
        <v>323.75</v>
      </c>
      <c r="V157" s="26">
        <v>280</v>
      </c>
      <c r="W157" s="18" t="s">
        <v>26</v>
      </c>
      <c r="X157" s="19"/>
      <c r="Y157" s="19"/>
      <c r="Z157" s="19"/>
      <c r="AA157" s="19"/>
    </row>
    <row r="158" spans="1:27" ht="14.25" customHeight="1" x14ac:dyDescent="0.3">
      <c r="A158" s="11">
        <v>157</v>
      </c>
      <c r="B158" s="10">
        <v>5</v>
      </c>
      <c r="C158" s="11" t="s">
        <v>23</v>
      </c>
      <c r="D158" s="10">
        <v>33</v>
      </c>
      <c r="E158" s="10">
        <v>14</v>
      </c>
      <c r="F158" s="10">
        <v>199647</v>
      </c>
      <c r="G158" s="11" t="s">
        <v>43</v>
      </c>
      <c r="H158" s="10">
        <v>442</v>
      </c>
      <c r="I158" s="10">
        <v>74271</v>
      </c>
      <c r="J158" s="10">
        <v>24496211</v>
      </c>
      <c r="K158" s="10">
        <v>89700</v>
      </c>
      <c r="L158" s="12">
        <v>2227878</v>
      </c>
      <c r="M158" s="13">
        <f>+_xlfn.XLOOKUP(D158&amp;"-"&amp;E158,'[1]Listado Lotes'!$K$3:$K$385,'[1]Listado Lotes'!$E$3:$E$385)</f>
        <v>298.69</v>
      </c>
      <c r="N158" s="20" t="s">
        <v>24</v>
      </c>
      <c r="O158" s="21">
        <v>15000</v>
      </c>
      <c r="P158" s="22">
        <v>50.167224080267559</v>
      </c>
      <c r="Q158" s="23">
        <v>0.3</v>
      </c>
      <c r="R158" s="24">
        <v>0.01</v>
      </c>
      <c r="S158" s="25">
        <v>4500</v>
      </c>
      <c r="T158" s="25">
        <v>10500</v>
      </c>
      <c r="U158" s="26">
        <v>323.75</v>
      </c>
      <c r="V158" s="26">
        <v>280</v>
      </c>
      <c r="W158" s="18" t="s">
        <v>26</v>
      </c>
      <c r="X158" s="19"/>
      <c r="Y158" s="19"/>
      <c r="Z158" s="19"/>
      <c r="AA158" s="19"/>
    </row>
    <row r="159" spans="1:27" ht="14.25" customHeight="1" x14ac:dyDescent="0.3">
      <c r="A159" s="11">
        <v>158</v>
      </c>
      <c r="B159" s="10">
        <v>5</v>
      </c>
      <c r="C159" s="11" t="s">
        <v>23</v>
      </c>
      <c r="D159" s="10">
        <v>33</v>
      </c>
      <c r="E159" s="10">
        <v>15</v>
      </c>
      <c r="F159" s="10">
        <v>199648</v>
      </c>
      <c r="G159" s="11" t="s">
        <v>44</v>
      </c>
      <c r="H159" s="10">
        <v>442</v>
      </c>
      <c r="I159" s="10">
        <v>74272</v>
      </c>
      <c r="J159" s="10">
        <v>24496218</v>
      </c>
      <c r="K159" s="10">
        <v>86904</v>
      </c>
      <c r="L159" s="12">
        <v>2158434</v>
      </c>
      <c r="M159" s="13">
        <f>+_xlfn.XLOOKUP(D159&amp;"-"&amp;E159,'[1]Listado Lotes'!$K$3:$K$385,'[1]Listado Lotes'!$E$3:$E$385)</f>
        <v>213.22</v>
      </c>
      <c r="N159" s="28" t="s">
        <v>233</v>
      </c>
      <c r="O159" s="14">
        <v>0</v>
      </c>
      <c r="P159" s="15">
        <v>0</v>
      </c>
      <c r="Q159" s="29">
        <v>0.3</v>
      </c>
      <c r="R159" s="16">
        <v>0.01</v>
      </c>
      <c r="S159" s="17">
        <v>0</v>
      </c>
      <c r="T159" s="17">
        <v>0</v>
      </c>
      <c r="U159" s="26">
        <v>0</v>
      </c>
      <c r="V159" s="26">
        <v>0</v>
      </c>
      <c r="W159" s="18" t="s">
        <v>46</v>
      </c>
      <c r="X159" s="19"/>
      <c r="Y159" s="19"/>
      <c r="Z159" s="19"/>
      <c r="AA159" s="19"/>
    </row>
    <row r="160" spans="1:27" ht="14.25" customHeight="1" x14ac:dyDescent="0.3">
      <c r="A160" s="11">
        <v>159</v>
      </c>
      <c r="B160" s="10">
        <v>5</v>
      </c>
      <c r="C160" s="11" t="s">
        <v>23</v>
      </c>
      <c r="D160" s="10">
        <v>33</v>
      </c>
      <c r="E160" s="10">
        <v>16</v>
      </c>
      <c r="F160" s="10">
        <v>199649</v>
      </c>
      <c r="G160" s="11" t="s">
        <v>47</v>
      </c>
      <c r="H160" s="10">
        <v>442</v>
      </c>
      <c r="I160" s="10">
        <v>74273</v>
      </c>
      <c r="J160" s="10">
        <v>24496224</v>
      </c>
      <c r="K160" s="10">
        <v>75114</v>
      </c>
      <c r="L160" s="12">
        <v>1865606</v>
      </c>
      <c r="M160" s="13">
        <f>+_xlfn.XLOOKUP(D160&amp;"-"&amp;E160,'[1]Listado Lotes'!$K$3:$K$385,'[1]Listado Lotes'!$E$3:$E$385)</f>
        <v>233.98</v>
      </c>
      <c r="N160" s="28" t="s">
        <v>45</v>
      </c>
      <c r="O160" s="14">
        <v>0</v>
      </c>
      <c r="P160" s="15">
        <v>0</v>
      </c>
      <c r="Q160" s="29">
        <v>0.3</v>
      </c>
      <c r="R160" s="16">
        <v>0.01</v>
      </c>
      <c r="S160" s="17">
        <v>0</v>
      </c>
      <c r="T160" s="17">
        <v>0</v>
      </c>
      <c r="U160" s="26">
        <v>0</v>
      </c>
      <c r="V160" s="26">
        <v>0</v>
      </c>
      <c r="W160" s="18" t="s">
        <v>46</v>
      </c>
      <c r="X160" s="19"/>
      <c r="Y160" s="19"/>
      <c r="Z160" s="19"/>
      <c r="AA160" s="19"/>
    </row>
    <row r="161" spans="1:27" ht="14.25" customHeight="1" x14ac:dyDescent="0.3">
      <c r="A161" s="11">
        <v>160</v>
      </c>
      <c r="B161" s="10">
        <v>5</v>
      </c>
      <c r="C161" s="11" t="s">
        <v>23</v>
      </c>
      <c r="D161" s="10">
        <v>33</v>
      </c>
      <c r="E161" s="10">
        <v>17</v>
      </c>
      <c r="F161" s="10">
        <v>199650</v>
      </c>
      <c r="G161" s="11" t="s">
        <v>48</v>
      </c>
      <c r="H161" s="10">
        <v>442</v>
      </c>
      <c r="I161" s="10">
        <v>74274</v>
      </c>
      <c r="J161" s="10">
        <v>24496262</v>
      </c>
      <c r="K161" s="10">
        <v>75114</v>
      </c>
      <c r="L161" s="12">
        <v>1865606</v>
      </c>
      <c r="M161" s="13">
        <f>+_xlfn.XLOOKUP(D161&amp;"-"&amp;E161,'[1]Listado Lotes'!$K$3:$K$385,'[1]Listado Lotes'!$E$3:$E$385)</f>
        <v>233.98</v>
      </c>
      <c r="N161" s="28" t="s">
        <v>45</v>
      </c>
      <c r="O161" s="14">
        <v>0</v>
      </c>
      <c r="P161" s="15">
        <v>0</v>
      </c>
      <c r="Q161" s="29">
        <v>0.3</v>
      </c>
      <c r="R161" s="16">
        <v>0.01</v>
      </c>
      <c r="S161" s="17">
        <v>0</v>
      </c>
      <c r="T161" s="17">
        <v>0</v>
      </c>
      <c r="U161" s="26">
        <v>0</v>
      </c>
      <c r="V161" s="26">
        <v>0</v>
      </c>
      <c r="W161" s="18" t="s">
        <v>46</v>
      </c>
      <c r="X161" s="19"/>
      <c r="Y161" s="19"/>
      <c r="Z161" s="19"/>
      <c r="AA161" s="19"/>
    </row>
    <row r="162" spans="1:27" ht="14.25" customHeight="1" x14ac:dyDescent="0.3">
      <c r="A162" s="11">
        <v>161</v>
      </c>
      <c r="B162" s="10">
        <v>5</v>
      </c>
      <c r="C162" s="11" t="s">
        <v>23</v>
      </c>
      <c r="D162" s="10">
        <v>33</v>
      </c>
      <c r="E162" s="10">
        <v>18</v>
      </c>
      <c r="F162" s="10">
        <v>199651</v>
      </c>
      <c r="G162" s="11" t="s">
        <v>49</v>
      </c>
      <c r="H162" s="10">
        <v>442</v>
      </c>
      <c r="I162" s="10">
        <v>74275</v>
      </c>
      <c r="J162" s="10">
        <v>24496266</v>
      </c>
      <c r="K162" s="10">
        <v>75114</v>
      </c>
      <c r="L162" s="12">
        <v>1865606</v>
      </c>
      <c r="M162" s="13">
        <f>+_xlfn.XLOOKUP(D162&amp;"-"&amp;E162,'[1]Listado Lotes'!$K$3:$K$385,'[1]Listado Lotes'!$E$3:$E$385)</f>
        <v>233.98</v>
      </c>
      <c r="N162" s="28" t="s">
        <v>45</v>
      </c>
      <c r="O162" s="14">
        <v>0</v>
      </c>
      <c r="P162" s="15">
        <v>0</v>
      </c>
      <c r="Q162" s="29">
        <v>0.3</v>
      </c>
      <c r="R162" s="16">
        <v>0.01</v>
      </c>
      <c r="S162" s="17">
        <v>0</v>
      </c>
      <c r="T162" s="17">
        <v>0</v>
      </c>
      <c r="U162" s="26">
        <v>0</v>
      </c>
      <c r="V162" s="26">
        <v>0</v>
      </c>
      <c r="W162" s="18" t="s">
        <v>46</v>
      </c>
      <c r="X162" s="19"/>
      <c r="Y162" s="19"/>
      <c r="Z162" s="19"/>
      <c r="AA162" s="19"/>
    </row>
    <row r="163" spans="1:27" ht="14.25" customHeight="1" x14ac:dyDescent="0.3">
      <c r="A163" s="11">
        <v>162</v>
      </c>
      <c r="B163" s="10">
        <v>5</v>
      </c>
      <c r="C163" s="11" t="s">
        <v>23</v>
      </c>
      <c r="D163" s="10">
        <v>33</v>
      </c>
      <c r="E163" s="10">
        <v>19</v>
      </c>
      <c r="F163" s="10">
        <v>199652</v>
      </c>
      <c r="G163" s="11" t="s">
        <v>50</v>
      </c>
      <c r="H163" s="10">
        <v>442</v>
      </c>
      <c r="I163" s="10">
        <v>74276</v>
      </c>
      <c r="J163" s="10">
        <v>24496272</v>
      </c>
      <c r="K163" s="10">
        <v>75114</v>
      </c>
      <c r="L163" s="12">
        <v>1865606</v>
      </c>
      <c r="M163" s="13">
        <f>+_xlfn.XLOOKUP(D163&amp;"-"&amp;E163,'[1]Listado Lotes'!$K$3:$K$385,'[1]Listado Lotes'!$E$3:$E$385)</f>
        <v>233.98</v>
      </c>
      <c r="N163" s="28" t="s">
        <v>45</v>
      </c>
      <c r="O163" s="14">
        <v>0</v>
      </c>
      <c r="P163" s="15">
        <v>0</v>
      </c>
      <c r="Q163" s="29">
        <v>0.3</v>
      </c>
      <c r="R163" s="16">
        <v>0.01</v>
      </c>
      <c r="S163" s="17">
        <v>0</v>
      </c>
      <c r="T163" s="17">
        <v>0</v>
      </c>
      <c r="U163" s="26">
        <v>0</v>
      </c>
      <c r="V163" s="26">
        <v>0</v>
      </c>
      <c r="W163" s="18" t="s">
        <v>46</v>
      </c>
      <c r="X163" s="19"/>
      <c r="Y163" s="19"/>
      <c r="Z163" s="19"/>
      <c r="AA163" s="19"/>
    </row>
    <row r="164" spans="1:27" ht="14.25" customHeight="1" x14ac:dyDescent="0.3">
      <c r="A164" s="11">
        <v>163</v>
      </c>
      <c r="B164" s="10">
        <v>5</v>
      </c>
      <c r="C164" s="11" t="s">
        <v>23</v>
      </c>
      <c r="D164" s="10">
        <v>33</v>
      </c>
      <c r="E164" s="10">
        <v>20</v>
      </c>
      <c r="F164" s="10">
        <v>199653</v>
      </c>
      <c r="G164" s="11" t="s">
        <v>51</v>
      </c>
      <c r="H164" s="10">
        <v>442</v>
      </c>
      <c r="I164" s="10">
        <v>74277</v>
      </c>
      <c r="J164" s="10">
        <v>24496279</v>
      </c>
      <c r="K164" s="10">
        <v>93432</v>
      </c>
      <c r="L164" s="12">
        <v>2320570</v>
      </c>
      <c r="M164" s="13">
        <f>+_xlfn.XLOOKUP(D164&amp;"-"&amp;E164,'[1]Listado Lotes'!$K$3:$K$385,'[1]Listado Lotes'!$E$3:$E$385)</f>
        <v>229.5</v>
      </c>
      <c r="N164" s="28" t="s">
        <v>45</v>
      </c>
      <c r="O164" s="14">
        <v>0</v>
      </c>
      <c r="P164" s="15">
        <v>0</v>
      </c>
      <c r="Q164" s="29">
        <v>0.3</v>
      </c>
      <c r="R164" s="16">
        <v>0.01</v>
      </c>
      <c r="S164" s="17">
        <v>0</v>
      </c>
      <c r="T164" s="17">
        <v>0</v>
      </c>
      <c r="U164" s="26">
        <v>0</v>
      </c>
      <c r="V164" s="26">
        <v>0</v>
      </c>
      <c r="W164" s="18" t="s">
        <v>46</v>
      </c>
      <c r="X164" s="19"/>
      <c r="Y164" s="19"/>
      <c r="Z164" s="19"/>
      <c r="AA164" s="19"/>
    </row>
    <row r="165" spans="1:27" ht="14.25" customHeight="1" x14ac:dyDescent="0.3">
      <c r="A165" s="11">
        <v>164</v>
      </c>
      <c r="B165" s="10">
        <v>5</v>
      </c>
      <c r="C165" s="11" t="s">
        <v>23</v>
      </c>
      <c r="D165" s="10">
        <v>33</v>
      </c>
      <c r="E165" s="10">
        <v>21</v>
      </c>
      <c r="F165" s="10">
        <v>199654</v>
      </c>
      <c r="G165" s="11" t="s">
        <v>52</v>
      </c>
      <c r="H165" s="10">
        <v>442</v>
      </c>
      <c r="I165" s="10">
        <v>74278</v>
      </c>
      <c r="J165" s="10">
        <v>24496290</v>
      </c>
      <c r="K165" s="10">
        <v>89700</v>
      </c>
      <c r="L165" s="12">
        <v>2227878</v>
      </c>
      <c r="M165" s="13">
        <f>+_xlfn.XLOOKUP(D165&amp;"-"&amp;E165,'[1]Listado Lotes'!$K$3:$K$385,'[1]Listado Lotes'!$E$3:$E$385)</f>
        <v>298.69</v>
      </c>
      <c r="N165" s="20" t="s">
        <v>24</v>
      </c>
      <c r="O165" s="21">
        <v>15000</v>
      </c>
      <c r="P165" s="22">
        <v>50.167224080267559</v>
      </c>
      <c r="Q165" s="23">
        <v>0.3</v>
      </c>
      <c r="R165" s="24">
        <v>0.01</v>
      </c>
      <c r="S165" s="25">
        <v>4500</v>
      </c>
      <c r="T165" s="25">
        <v>10500</v>
      </c>
      <c r="U165" s="26">
        <v>323.75</v>
      </c>
      <c r="V165" s="26">
        <v>280</v>
      </c>
      <c r="W165" s="18" t="s">
        <v>26</v>
      </c>
      <c r="X165" s="19"/>
      <c r="Y165" s="19"/>
      <c r="Z165" s="19"/>
      <c r="AA165" s="19"/>
    </row>
    <row r="166" spans="1:27" ht="14.25" customHeight="1" x14ac:dyDescent="0.3">
      <c r="A166" s="11">
        <v>165</v>
      </c>
      <c r="B166" s="10">
        <v>5</v>
      </c>
      <c r="C166" s="11" t="s">
        <v>23</v>
      </c>
      <c r="D166" s="10">
        <v>33</v>
      </c>
      <c r="E166" s="10">
        <v>22</v>
      </c>
      <c r="F166" s="10">
        <v>199655</v>
      </c>
      <c r="G166" s="11" t="s">
        <v>53</v>
      </c>
      <c r="H166" s="10">
        <v>442</v>
      </c>
      <c r="I166" s="10">
        <v>74279</v>
      </c>
      <c r="J166" s="10">
        <v>24496293</v>
      </c>
      <c r="K166" s="10">
        <v>89700</v>
      </c>
      <c r="L166" s="12">
        <v>2227878</v>
      </c>
      <c r="M166" s="13">
        <f>+_xlfn.XLOOKUP(D166&amp;"-"&amp;E166,'[1]Listado Lotes'!$K$3:$K$385,'[1]Listado Lotes'!$E$3:$E$385)</f>
        <v>298.69</v>
      </c>
      <c r="N166" s="20" t="s">
        <v>24</v>
      </c>
      <c r="O166" s="21">
        <v>15000</v>
      </c>
      <c r="P166" s="22">
        <v>50.167224080267559</v>
      </c>
      <c r="Q166" s="23">
        <v>0.3</v>
      </c>
      <c r="R166" s="24">
        <v>0.01</v>
      </c>
      <c r="S166" s="25">
        <v>4500</v>
      </c>
      <c r="T166" s="25">
        <v>10500</v>
      </c>
      <c r="U166" s="26">
        <v>323.75</v>
      </c>
      <c r="V166" s="26">
        <v>280</v>
      </c>
      <c r="W166" s="18" t="s">
        <v>26</v>
      </c>
      <c r="X166" s="19"/>
      <c r="Y166" s="19"/>
      <c r="Z166" s="19"/>
      <c r="AA166" s="19"/>
    </row>
    <row r="167" spans="1:27" ht="14.25" customHeight="1" x14ac:dyDescent="0.3">
      <c r="A167" s="11">
        <v>166</v>
      </c>
      <c r="B167" s="10">
        <v>5</v>
      </c>
      <c r="C167" s="11" t="s">
        <v>23</v>
      </c>
      <c r="D167" s="10">
        <v>33</v>
      </c>
      <c r="E167" s="10">
        <v>23</v>
      </c>
      <c r="F167" s="10">
        <v>199656</v>
      </c>
      <c r="G167" s="11" t="s">
        <v>54</v>
      </c>
      <c r="H167" s="10">
        <v>442</v>
      </c>
      <c r="I167" s="10">
        <v>74280</v>
      </c>
      <c r="J167" s="10">
        <v>24496296</v>
      </c>
      <c r="K167" s="10">
        <v>89700</v>
      </c>
      <c r="L167" s="12">
        <v>2227878</v>
      </c>
      <c r="M167" s="13">
        <f>+_xlfn.XLOOKUP(D167&amp;"-"&amp;E167,'[1]Listado Lotes'!$K$3:$K$385,'[1]Listado Lotes'!$E$3:$E$385)</f>
        <v>298.69</v>
      </c>
      <c r="N167" s="20" t="s">
        <v>24</v>
      </c>
      <c r="O167" s="21">
        <v>15000</v>
      </c>
      <c r="P167" s="22">
        <v>50.167224080267559</v>
      </c>
      <c r="Q167" s="23">
        <v>0.3</v>
      </c>
      <c r="R167" s="24">
        <v>0.01</v>
      </c>
      <c r="S167" s="25">
        <v>4500</v>
      </c>
      <c r="T167" s="25">
        <v>10500</v>
      </c>
      <c r="U167" s="26">
        <v>323.75</v>
      </c>
      <c r="V167" s="26">
        <v>280</v>
      </c>
      <c r="W167" s="18" t="s">
        <v>26</v>
      </c>
      <c r="X167" s="19"/>
      <c r="Y167" s="19"/>
      <c r="Z167" s="19"/>
      <c r="AA167" s="19"/>
    </row>
    <row r="168" spans="1:27" ht="14.25" customHeight="1" x14ac:dyDescent="0.3">
      <c r="A168" s="11">
        <v>167</v>
      </c>
      <c r="B168" s="10">
        <v>5</v>
      </c>
      <c r="C168" s="11" t="s">
        <v>23</v>
      </c>
      <c r="D168" s="10">
        <v>33</v>
      </c>
      <c r="E168" s="10">
        <v>24</v>
      </c>
      <c r="F168" s="10">
        <v>199657</v>
      </c>
      <c r="G168" s="11" t="s">
        <v>55</v>
      </c>
      <c r="H168" s="10">
        <v>442</v>
      </c>
      <c r="I168" s="10">
        <v>74281</v>
      </c>
      <c r="J168" s="10">
        <v>24496299</v>
      </c>
      <c r="K168" s="10">
        <v>89700</v>
      </c>
      <c r="L168" s="12">
        <v>2227878</v>
      </c>
      <c r="M168" s="13">
        <f>+_xlfn.XLOOKUP(D168&amp;"-"&amp;E168,'[1]Listado Lotes'!$K$3:$K$385,'[1]Listado Lotes'!$E$3:$E$385)</f>
        <v>298.69</v>
      </c>
      <c r="N168" s="20" t="s">
        <v>24</v>
      </c>
      <c r="O168" s="21">
        <v>15000</v>
      </c>
      <c r="P168" s="22">
        <v>50.167224080267559</v>
      </c>
      <c r="Q168" s="23">
        <v>0.3</v>
      </c>
      <c r="R168" s="24">
        <v>0.01</v>
      </c>
      <c r="S168" s="25">
        <v>4500</v>
      </c>
      <c r="T168" s="25">
        <v>10500</v>
      </c>
      <c r="U168" s="26">
        <v>323.75</v>
      </c>
      <c r="V168" s="26">
        <v>280</v>
      </c>
      <c r="W168" s="18" t="s">
        <v>26</v>
      </c>
      <c r="X168" s="19"/>
      <c r="Y168" s="19"/>
      <c r="Z168" s="19"/>
      <c r="AA168" s="19"/>
    </row>
    <row r="169" spans="1:27" ht="14.25" customHeight="1" x14ac:dyDescent="0.3">
      <c r="A169" s="11">
        <v>168</v>
      </c>
      <c r="B169" s="10">
        <v>5</v>
      </c>
      <c r="C169" s="11" t="s">
        <v>23</v>
      </c>
      <c r="D169" s="10">
        <v>33</v>
      </c>
      <c r="E169" s="10">
        <v>25</v>
      </c>
      <c r="F169" s="10">
        <v>199658</v>
      </c>
      <c r="G169" s="11" t="s">
        <v>56</v>
      </c>
      <c r="H169" s="10">
        <v>442</v>
      </c>
      <c r="I169" s="10">
        <v>74282</v>
      </c>
      <c r="J169" s="10">
        <v>24496337</v>
      </c>
      <c r="K169" s="10">
        <v>89700</v>
      </c>
      <c r="L169" s="12">
        <v>2227878</v>
      </c>
      <c r="M169" s="13">
        <f>+_xlfn.XLOOKUP(D169&amp;"-"&amp;E169,'[1]Listado Lotes'!$K$3:$K$385,'[1]Listado Lotes'!$E$3:$E$385)</f>
        <v>298.69</v>
      </c>
      <c r="N169" s="20" t="s">
        <v>24</v>
      </c>
      <c r="O169" s="21">
        <v>15000</v>
      </c>
      <c r="P169" s="22">
        <v>50.167224080267559</v>
      </c>
      <c r="Q169" s="23">
        <v>0.3</v>
      </c>
      <c r="R169" s="24">
        <v>0.01</v>
      </c>
      <c r="S169" s="25">
        <v>4500</v>
      </c>
      <c r="T169" s="25">
        <v>10500</v>
      </c>
      <c r="U169" s="26">
        <v>323.75</v>
      </c>
      <c r="V169" s="26">
        <v>280</v>
      </c>
      <c r="W169" s="18" t="s">
        <v>26</v>
      </c>
      <c r="X169" s="19"/>
      <c r="Y169" s="19"/>
      <c r="Z169" s="19"/>
      <c r="AA169" s="19"/>
    </row>
    <row r="170" spans="1:27" ht="14.25" customHeight="1" x14ac:dyDescent="0.3">
      <c r="A170" s="11">
        <v>169</v>
      </c>
      <c r="B170" s="10">
        <v>5</v>
      </c>
      <c r="C170" s="11" t="s">
        <v>23</v>
      </c>
      <c r="D170" s="10">
        <v>33</v>
      </c>
      <c r="E170" s="10">
        <v>26</v>
      </c>
      <c r="F170" s="10">
        <v>199659</v>
      </c>
      <c r="G170" s="11" t="s">
        <v>57</v>
      </c>
      <c r="H170" s="10">
        <v>442</v>
      </c>
      <c r="I170" s="10">
        <v>74283</v>
      </c>
      <c r="J170" s="10">
        <v>24496343</v>
      </c>
      <c r="K170" s="10">
        <v>89700</v>
      </c>
      <c r="L170" s="12">
        <v>2227878</v>
      </c>
      <c r="M170" s="13">
        <f>+_xlfn.XLOOKUP(D170&amp;"-"&amp;E170,'[1]Listado Lotes'!$K$3:$K$385,'[1]Listado Lotes'!$E$3:$E$385)</f>
        <v>298.69</v>
      </c>
      <c r="N170" s="20" t="s">
        <v>24</v>
      </c>
      <c r="O170" s="21">
        <v>15000</v>
      </c>
      <c r="P170" s="22">
        <v>50.167224080267559</v>
      </c>
      <c r="Q170" s="23">
        <v>0.3</v>
      </c>
      <c r="R170" s="24">
        <v>0.01</v>
      </c>
      <c r="S170" s="25">
        <v>4500</v>
      </c>
      <c r="T170" s="25">
        <v>10500</v>
      </c>
      <c r="U170" s="26">
        <v>323.75</v>
      </c>
      <c r="V170" s="26">
        <v>280</v>
      </c>
      <c r="W170" s="18" t="s">
        <v>26</v>
      </c>
      <c r="X170" s="19"/>
      <c r="Y170" s="19"/>
      <c r="Z170" s="19"/>
      <c r="AA170" s="19"/>
    </row>
    <row r="171" spans="1:27" ht="14.25" customHeight="1" x14ac:dyDescent="0.3">
      <c r="A171" s="11">
        <v>170</v>
      </c>
      <c r="B171" s="10">
        <v>5</v>
      </c>
      <c r="C171" s="11" t="s">
        <v>23</v>
      </c>
      <c r="D171" s="10">
        <v>33</v>
      </c>
      <c r="E171" s="10">
        <v>27</v>
      </c>
      <c r="F171" s="10">
        <v>199660</v>
      </c>
      <c r="G171" s="11" t="s">
        <v>58</v>
      </c>
      <c r="H171" s="10">
        <v>442</v>
      </c>
      <c r="I171" s="10">
        <v>74284</v>
      </c>
      <c r="J171" s="10">
        <v>24496345</v>
      </c>
      <c r="K171" s="10">
        <v>89700</v>
      </c>
      <c r="L171" s="12">
        <v>2227878</v>
      </c>
      <c r="M171" s="13">
        <f>+_xlfn.XLOOKUP(D171&amp;"-"&amp;E171,'[1]Listado Lotes'!$K$3:$K$385,'[1]Listado Lotes'!$E$3:$E$385)</f>
        <v>298.69</v>
      </c>
      <c r="N171" s="20" t="s">
        <v>24</v>
      </c>
      <c r="O171" s="21">
        <v>15000</v>
      </c>
      <c r="P171" s="22">
        <v>50.167224080267559</v>
      </c>
      <c r="Q171" s="23">
        <v>0.3</v>
      </c>
      <c r="R171" s="24">
        <v>0.01</v>
      </c>
      <c r="S171" s="25">
        <v>4500</v>
      </c>
      <c r="T171" s="25">
        <v>10500</v>
      </c>
      <c r="U171" s="26">
        <v>323.75</v>
      </c>
      <c r="V171" s="26">
        <v>280</v>
      </c>
      <c r="W171" s="18" t="s">
        <v>26</v>
      </c>
      <c r="X171" s="19"/>
      <c r="Y171" s="19"/>
      <c r="Z171" s="19"/>
      <c r="AA171" s="19"/>
    </row>
    <row r="172" spans="1:27" ht="14.25" customHeight="1" x14ac:dyDescent="0.3">
      <c r="A172" s="11">
        <v>171</v>
      </c>
      <c r="B172" s="10">
        <v>5</v>
      </c>
      <c r="C172" s="11" t="s">
        <v>23</v>
      </c>
      <c r="D172" s="10">
        <v>33</v>
      </c>
      <c r="E172" s="10">
        <v>28</v>
      </c>
      <c r="F172" s="10">
        <v>199661</v>
      </c>
      <c r="G172" s="11" t="s">
        <v>59</v>
      </c>
      <c r="H172" s="10">
        <v>442</v>
      </c>
      <c r="I172" s="10">
        <v>74285</v>
      </c>
      <c r="J172" s="10">
        <v>24496360</v>
      </c>
      <c r="K172" s="10">
        <v>89700</v>
      </c>
      <c r="L172" s="12">
        <v>2227878</v>
      </c>
      <c r="M172" s="13">
        <f>+_xlfn.XLOOKUP(D172&amp;"-"&amp;E172,'[1]Listado Lotes'!$K$3:$K$385,'[1]Listado Lotes'!$E$3:$E$385)</f>
        <v>298.69</v>
      </c>
      <c r="N172" s="20" t="s">
        <v>24</v>
      </c>
      <c r="O172" s="21">
        <v>15000</v>
      </c>
      <c r="P172" s="22">
        <v>50.167224080267559</v>
      </c>
      <c r="Q172" s="23">
        <v>0.3</v>
      </c>
      <c r="R172" s="24">
        <v>0.01</v>
      </c>
      <c r="S172" s="25">
        <v>4500</v>
      </c>
      <c r="T172" s="25">
        <v>10500</v>
      </c>
      <c r="U172" s="26">
        <v>323.75</v>
      </c>
      <c r="V172" s="26">
        <v>280</v>
      </c>
      <c r="W172" s="18" t="s">
        <v>26</v>
      </c>
      <c r="X172" s="19"/>
      <c r="Y172" s="19"/>
      <c r="Z172" s="19"/>
      <c r="AA172" s="19"/>
    </row>
    <row r="173" spans="1:27" ht="14.25" customHeight="1" x14ac:dyDescent="0.3">
      <c r="A173" s="11">
        <v>172</v>
      </c>
      <c r="B173" s="10">
        <v>5</v>
      </c>
      <c r="C173" s="11" t="s">
        <v>23</v>
      </c>
      <c r="D173" s="10">
        <v>94</v>
      </c>
      <c r="E173" s="10">
        <v>1</v>
      </c>
      <c r="F173" s="10">
        <v>199602</v>
      </c>
      <c r="G173" s="10">
        <v>46588</v>
      </c>
      <c r="H173" s="10">
        <v>442</v>
      </c>
      <c r="I173" s="10">
        <v>74374</v>
      </c>
      <c r="J173" s="10">
        <v>24496485</v>
      </c>
      <c r="K173" s="10">
        <v>102720</v>
      </c>
      <c r="L173" s="12">
        <v>2551256</v>
      </c>
      <c r="M173" s="13">
        <f>+_xlfn.XLOOKUP(D173&amp;"-"&amp;E173,'[1]Listado Lotes'!$K$3:$K$385,'[1]Listado Lotes'!$E$3:$E$385)</f>
        <v>214.24</v>
      </c>
      <c r="N173" s="28" t="s">
        <v>233</v>
      </c>
      <c r="O173" s="14" t="e">
        <v>#N/A</v>
      </c>
      <c r="P173" s="15" t="e">
        <v>#N/A</v>
      </c>
      <c r="Q173" s="16" t="e">
        <v>#N/A</v>
      </c>
      <c r="R173" s="16" t="e">
        <v>#N/A</v>
      </c>
      <c r="S173" s="17" t="e">
        <v>#N/A</v>
      </c>
      <c r="T173" s="17" t="e">
        <v>#N/A</v>
      </c>
      <c r="U173" s="18"/>
      <c r="V173" s="18"/>
      <c r="W173" s="18" t="e">
        <v>#N/A</v>
      </c>
      <c r="X173" s="19"/>
      <c r="Y173" s="19"/>
      <c r="Z173" s="19"/>
      <c r="AA173" s="19"/>
    </row>
    <row r="174" spans="1:27" ht="14.25" customHeight="1" x14ac:dyDescent="0.3">
      <c r="A174" s="11">
        <v>173</v>
      </c>
      <c r="B174" s="10">
        <v>5</v>
      </c>
      <c r="C174" s="11" t="s">
        <v>23</v>
      </c>
      <c r="D174" s="10">
        <v>94</v>
      </c>
      <c r="E174" s="10">
        <v>2</v>
      </c>
      <c r="F174" s="10">
        <v>199603</v>
      </c>
      <c r="G174" s="10">
        <v>46589</v>
      </c>
      <c r="H174" s="10">
        <v>442</v>
      </c>
      <c r="I174" s="10">
        <v>74378</v>
      </c>
      <c r="J174" s="10">
        <v>24496488</v>
      </c>
      <c r="K174" s="10">
        <v>75114</v>
      </c>
      <c r="L174" s="12">
        <v>1865606</v>
      </c>
      <c r="M174" s="13">
        <f>+_xlfn.XLOOKUP(D174&amp;"-"&amp;E174,'[1]Listado Lotes'!$K$3:$K$385,'[1]Listado Lotes'!$E$3:$E$385)</f>
        <v>233.98</v>
      </c>
      <c r="N174" s="28" t="s">
        <v>233</v>
      </c>
      <c r="O174" s="14" t="e">
        <v>#N/A</v>
      </c>
      <c r="P174" s="15" t="e">
        <v>#N/A</v>
      </c>
      <c r="Q174" s="16" t="e">
        <v>#N/A</v>
      </c>
      <c r="R174" s="16" t="e">
        <v>#N/A</v>
      </c>
      <c r="S174" s="17" t="e">
        <v>#N/A</v>
      </c>
      <c r="T174" s="17" t="e">
        <v>#N/A</v>
      </c>
      <c r="U174" s="18"/>
      <c r="V174" s="18"/>
      <c r="W174" s="18" t="e">
        <v>#N/A</v>
      </c>
      <c r="X174" s="19"/>
      <c r="Y174" s="19"/>
      <c r="Z174" s="19"/>
      <c r="AA174" s="19"/>
    </row>
    <row r="175" spans="1:27" ht="14.25" customHeight="1" x14ac:dyDescent="0.3">
      <c r="A175" s="11">
        <v>174</v>
      </c>
      <c r="B175" s="10">
        <v>5</v>
      </c>
      <c r="C175" s="11" t="s">
        <v>23</v>
      </c>
      <c r="D175" s="10">
        <v>94</v>
      </c>
      <c r="E175" s="10">
        <v>3</v>
      </c>
      <c r="F175" s="10">
        <v>199604</v>
      </c>
      <c r="G175" s="10">
        <v>46590</v>
      </c>
      <c r="H175" s="10">
        <v>442</v>
      </c>
      <c r="I175" s="10">
        <v>74379</v>
      </c>
      <c r="J175" s="10">
        <v>24496490</v>
      </c>
      <c r="K175" s="10">
        <v>75114</v>
      </c>
      <c r="L175" s="12">
        <v>1865606</v>
      </c>
      <c r="M175" s="13">
        <f>+_xlfn.XLOOKUP(D175&amp;"-"&amp;E175,'[1]Listado Lotes'!$K$3:$K$385,'[1]Listado Lotes'!$E$3:$E$385)</f>
        <v>233.98</v>
      </c>
      <c r="N175" s="28" t="s">
        <v>233</v>
      </c>
      <c r="O175" s="14" t="e">
        <v>#N/A</v>
      </c>
      <c r="P175" s="15" t="e">
        <v>#N/A</v>
      </c>
      <c r="Q175" s="16" t="e">
        <v>#N/A</v>
      </c>
      <c r="R175" s="16" t="e">
        <v>#N/A</v>
      </c>
      <c r="S175" s="17" t="e">
        <v>#N/A</v>
      </c>
      <c r="T175" s="17" t="e">
        <v>#N/A</v>
      </c>
      <c r="U175" s="18"/>
      <c r="V175" s="18"/>
      <c r="W175" s="18" t="e">
        <v>#N/A</v>
      </c>
      <c r="X175" s="19"/>
      <c r="Y175" s="19"/>
      <c r="Z175" s="19"/>
      <c r="AA175" s="19"/>
    </row>
    <row r="176" spans="1:27" ht="14.25" customHeight="1" x14ac:dyDescent="0.3">
      <c r="A176" s="11">
        <v>175</v>
      </c>
      <c r="B176" s="10">
        <v>5</v>
      </c>
      <c r="C176" s="11" t="s">
        <v>23</v>
      </c>
      <c r="D176" s="10">
        <v>94</v>
      </c>
      <c r="E176" s="10">
        <v>4</v>
      </c>
      <c r="F176" s="10">
        <v>199605</v>
      </c>
      <c r="G176" s="10">
        <v>46591</v>
      </c>
      <c r="H176" s="10">
        <v>442</v>
      </c>
      <c r="I176" s="10">
        <v>74350</v>
      </c>
      <c r="J176" s="10">
        <v>24496492</v>
      </c>
      <c r="K176" s="10">
        <v>75114</v>
      </c>
      <c r="L176" s="12">
        <v>1865606</v>
      </c>
      <c r="M176" s="13">
        <f>+_xlfn.XLOOKUP(D176&amp;"-"&amp;E176,'[1]Listado Lotes'!$K$3:$K$385,'[1]Listado Lotes'!$E$3:$E$385)</f>
        <v>233.98</v>
      </c>
      <c r="N176" s="28" t="s">
        <v>233</v>
      </c>
      <c r="O176" s="14" t="e">
        <v>#N/A</v>
      </c>
      <c r="P176" s="15" t="e">
        <v>#N/A</v>
      </c>
      <c r="Q176" s="16" t="e">
        <v>#N/A</v>
      </c>
      <c r="R176" s="16" t="e">
        <v>#N/A</v>
      </c>
      <c r="S176" s="17" t="e">
        <v>#N/A</v>
      </c>
      <c r="T176" s="17" t="e">
        <v>#N/A</v>
      </c>
      <c r="U176" s="18"/>
      <c r="V176" s="18"/>
      <c r="W176" s="18" t="e">
        <v>#N/A</v>
      </c>
      <c r="X176" s="19"/>
      <c r="Y176" s="19"/>
      <c r="Z176" s="19"/>
      <c r="AA176" s="19"/>
    </row>
    <row r="177" spans="1:27" ht="14.25" customHeight="1" x14ac:dyDescent="0.3">
      <c r="A177" s="11">
        <v>176</v>
      </c>
      <c r="B177" s="10">
        <v>5</v>
      </c>
      <c r="C177" s="11" t="s">
        <v>23</v>
      </c>
      <c r="D177" s="10">
        <v>94</v>
      </c>
      <c r="E177" s="10">
        <v>5</v>
      </c>
      <c r="F177" s="10">
        <v>199606</v>
      </c>
      <c r="G177" s="10">
        <v>46592</v>
      </c>
      <c r="H177" s="10">
        <v>442</v>
      </c>
      <c r="I177" s="10">
        <v>74351</v>
      </c>
      <c r="J177" s="10">
        <v>24496563</v>
      </c>
      <c r="K177" s="10">
        <v>75114</v>
      </c>
      <c r="L177" s="12">
        <v>1865606</v>
      </c>
      <c r="M177" s="13">
        <f>+_xlfn.XLOOKUP(D177&amp;"-"&amp;E177,'[1]Listado Lotes'!$K$3:$K$385,'[1]Listado Lotes'!$E$3:$E$385)</f>
        <v>233.98</v>
      </c>
      <c r="N177" s="28" t="s">
        <v>233</v>
      </c>
      <c r="O177" s="14" t="e">
        <v>#N/A</v>
      </c>
      <c r="P177" s="15" t="e">
        <v>#N/A</v>
      </c>
      <c r="Q177" s="16" t="e">
        <v>#N/A</v>
      </c>
      <c r="R177" s="16" t="e">
        <v>#N/A</v>
      </c>
      <c r="S177" s="17" t="e">
        <v>#N/A</v>
      </c>
      <c r="T177" s="17" t="e">
        <v>#N/A</v>
      </c>
      <c r="U177" s="18"/>
      <c r="V177" s="18"/>
      <c r="W177" s="18" t="e">
        <v>#N/A</v>
      </c>
      <c r="X177" s="19"/>
      <c r="Y177" s="19"/>
      <c r="Z177" s="19"/>
      <c r="AA177" s="19"/>
    </row>
    <row r="178" spans="1:27" ht="14.25" customHeight="1" x14ac:dyDescent="0.3">
      <c r="A178" s="11">
        <v>177</v>
      </c>
      <c r="B178" s="10">
        <v>5</v>
      </c>
      <c r="C178" s="11" t="s">
        <v>23</v>
      </c>
      <c r="D178" s="10">
        <v>94</v>
      </c>
      <c r="E178" s="10">
        <v>6</v>
      </c>
      <c r="F178" s="10">
        <v>199607</v>
      </c>
      <c r="G178" s="10">
        <v>46593</v>
      </c>
      <c r="H178" s="10">
        <v>442</v>
      </c>
      <c r="I178" s="10">
        <v>74352</v>
      </c>
      <c r="J178" s="10">
        <v>24496567</v>
      </c>
      <c r="K178" s="10">
        <v>75114</v>
      </c>
      <c r="L178" s="12">
        <v>1865606</v>
      </c>
      <c r="M178" s="13">
        <f>+_xlfn.XLOOKUP(D178&amp;"-"&amp;E178,'[1]Listado Lotes'!$K$3:$K$385,'[1]Listado Lotes'!$E$3:$E$385)</f>
        <v>233.98</v>
      </c>
      <c r="N178" s="28" t="s">
        <v>233</v>
      </c>
      <c r="O178" s="14" t="e">
        <v>#N/A</v>
      </c>
      <c r="P178" s="15" t="e">
        <v>#N/A</v>
      </c>
      <c r="Q178" s="16" t="e">
        <v>#N/A</v>
      </c>
      <c r="R178" s="16" t="e">
        <v>#N/A</v>
      </c>
      <c r="S178" s="17" t="e">
        <v>#N/A</v>
      </c>
      <c r="T178" s="17" t="e">
        <v>#N/A</v>
      </c>
      <c r="U178" s="18"/>
      <c r="V178" s="18"/>
      <c r="W178" s="18" t="e">
        <v>#N/A</v>
      </c>
      <c r="X178" s="19"/>
      <c r="Y178" s="19"/>
      <c r="Z178" s="19"/>
      <c r="AA178" s="19"/>
    </row>
    <row r="179" spans="1:27" ht="14.25" customHeight="1" x14ac:dyDescent="0.3">
      <c r="A179" s="11">
        <v>178</v>
      </c>
      <c r="B179" s="10">
        <v>5</v>
      </c>
      <c r="C179" s="11" t="s">
        <v>23</v>
      </c>
      <c r="D179" s="10">
        <v>94</v>
      </c>
      <c r="E179" s="10">
        <v>7</v>
      </c>
      <c r="F179" s="10">
        <v>199608</v>
      </c>
      <c r="G179" s="10">
        <v>46594</v>
      </c>
      <c r="H179" s="10">
        <v>442</v>
      </c>
      <c r="I179" s="10">
        <v>74353</v>
      </c>
      <c r="J179" s="10">
        <v>24496568</v>
      </c>
      <c r="K179" s="10">
        <v>93432</v>
      </c>
      <c r="L179" s="12">
        <v>2320570</v>
      </c>
      <c r="M179" s="13">
        <f>+_xlfn.XLOOKUP(D179&amp;"-"&amp;E179,'[1]Listado Lotes'!$K$3:$K$385,'[1]Listado Lotes'!$E$3:$E$385)</f>
        <v>229.5</v>
      </c>
      <c r="N179" s="28" t="s">
        <v>233</v>
      </c>
      <c r="O179" s="14" t="e">
        <v>#N/A</v>
      </c>
      <c r="P179" s="15" t="e">
        <v>#N/A</v>
      </c>
      <c r="Q179" s="16" t="e">
        <v>#N/A</v>
      </c>
      <c r="R179" s="16" t="e">
        <v>#N/A</v>
      </c>
      <c r="S179" s="17" t="e">
        <v>#N/A</v>
      </c>
      <c r="T179" s="17" t="e">
        <v>#N/A</v>
      </c>
      <c r="U179" s="18"/>
      <c r="V179" s="18"/>
      <c r="W179" s="18" t="e">
        <v>#N/A</v>
      </c>
      <c r="X179" s="19"/>
      <c r="Y179" s="19"/>
      <c r="Z179" s="19"/>
      <c r="AA179" s="19"/>
    </row>
    <row r="180" spans="1:27" ht="14.25" customHeight="1" x14ac:dyDescent="0.3">
      <c r="A180" s="11">
        <v>179</v>
      </c>
      <c r="B180" s="10">
        <v>5</v>
      </c>
      <c r="C180" s="11" t="s">
        <v>23</v>
      </c>
      <c r="D180" s="10">
        <v>94</v>
      </c>
      <c r="E180" s="10">
        <v>8</v>
      </c>
      <c r="F180" s="10">
        <v>199609</v>
      </c>
      <c r="G180" s="10">
        <v>46595</v>
      </c>
      <c r="H180" s="10">
        <v>442</v>
      </c>
      <c r="I180" s="10">
        <v>74354</v>
      </c>
      <c r="J180" s="10">
        <v>24496571</v>
      </c>
      <c r="K180" s="10">
        <v>107460</v>
      </c>
      <c r="L180" s="12">
        <v>2668984</v>
      </c>
      <c r="M180" s="13">
        <f>+_xlfn.XLOOKUP(D180&amp;"-"&amp;E180,'[1]Listado Lotes'!$K$3:$K$385,'[1]Listado Lotes'!$E$3:$E$385)</f>
        <v>398.26</v>
      </c>
      <c r="N180" s="28" t="s">
        <v>233</v>
      </c>
      <c r="O180" s="14" t="e">
        <v>#N/A</v>
      </c>
      <c r="P180" s="15" t="e">
        <v>#N/A</v>
      </c>
      <c r="Q180" s="16" t="e">
        <v>#N/A</v>
      </c>
      <c r="R180" s="16" t="e">
        <v>#N/A</v>
      </c>
      <c r="S180" s="17" t="e">
        <v>#N/A</v>
      </c>
      <c r="T180" s="17" t="e">
        <v>#N/A</v>
      </c>
      <c r="U180" s="18"/>
      <c r="V180" s="18"/>
      <c r="W180" s="18" t="e">
        <v>#N/A</v>
      </c>
      <c r="X180" s="19"/>
      <c r="Y180" s="19"/>
      <c r="Z180" s="19"/>
      <c r="AA180" s="19"/>
    </row>
    <row r="181" spans="1:27" ht="14.25" customHeight="1" x14ac:dyDescent="0.3">
      <c r="A181" s="11">
        <v>180</v>
      </c>
      <c r="B181" s="10">
        <v>5</v>
      </c>
      <c r="C181" s="11" t="s">
        <v>23</v>
      </c>
      <c r="D181" s="10">
        <v>94</v>
      </c>
      <c r="E181" s="10">
        <v>9</v>
      </c>
      <c r="F181" s="10">
        <v>199610</v>
      </c>
      <c r="G181" s="10">
        <v>46596</v>
      </c>
      <c r="H181" s="10">
        <v>442</v>
      </c>
      <c r="I181" s="10">
        <v>74355</v>
      </c>
      <c r="J181" s="10">
        <v>24496573</v>
      </c>
      <c r="K181" s="10">
        <v>107460</v>
      </c>
      <c r="L181" s="12">
        <v>2668984</v>
      </c>
      <c r="M181" s="13">
        <f>+_xlfn.XLOOKUP(D181&amp;"-"&amp;E181,'[1]Listado Lotes'!$K$3:$K$385,'[1]Listado Lotes'!$E$3:$E$385)</f>
        <v>398.26</v>
      </c>
      <c r="N181" s="28" t="s">
        <v>233</v>
      </c>
      <c r="O181" s="14" t="e">
        <v>#N/A</v>
      </c>
      <c r="P181" s="15" t="e">
        <v>#N/A</v>
      </c>
      <c r="Q181" s="16" t="e">
        <v>#N/A</v>
      </c>
      <c r="R181" s="16" t="e">
        <v>#N/A</v>
      </c>
      <c r="S181" s="17" t="e">
        <v>#N/A</v>
      </c>
      <c r="T181" s="17" t="e">
        <v>#N/A</v>
      </c>
      <c r="U181" s="18"/>
      <c r="V181" s="18"/>
      <c r="W181" s="18" t="e">
        <v>#N/A</v>
      </c>
      <c r="X181" s="19"/>
      <c r="Y181" s="19"/>
      <c r="Z181" s="19"/>
      <c r="AA181" s="19"/>
    </row>
    <row r="182" spans="1:27" ht="14.25" customHeight="1" x14ac:dyDescent="0.3">
      <c r="A182" s="11">
        <v>181</v>
      </c>
      <c r="B182" s="10">
        <v>5</v>
      </c>
      <c r="C182" s="11" t="s">
        <v>23</v>
      </c>
      <c r="D182" s="10">
        <v>94</v>
      </c>
      <c r="E182" s="10">
        <v>10</v>
      </c>
      <c r="F182" s="10">
        <v>199611</v>
      </c>
      <c r="G182" s="10">
        <v>46597</v>
      </c>
      <c r="H182" s="10">
        <v>442</v>
      </c>
      <c r="I182" s="10">
        <v>74356</v>
      </c>
      <c r="J182" s="10">
        <v>24496576</v>
      </c>
      <c r="K182" s="10">
        <v>107460</v>
      </c>
      <c r="L182" s="12">
        <v>2668984</v>
      </c>
      <c r="M182" s="13">
        <f>+_xlfn.XLOOKUP(D182&amp;"-"&amp;E182,'[1]Listado Lotes'!$K$3:$K$385,'[1]Listado Lotes'!$E$3:$E$385)</f>
        <v>398.26</v>
      </c>
      <c r="N182" s="28" t="s">
        <v>233</v>
      </c>
      <c r="O182" s="14" t="e">
        <v>#N/A</v>
      </c>
      <c r="P182" s="15" t="e">
        <v>#N/A</v>
      </c>
      <c r="Q182" s="16" t="e">
        <v>#N/A</v>
      </c>
      <c r="R182" s="16" t="e">
        <v>#N/A</v>
      </c>
      <c r="S182" s="17" t="e">
        <v>#N/A</v>
      </c>
      <c r="T182" s="17" t="e">
        <v>#N/A</v>
      </c>
      <c r="U182" s="18"/>
      <c r="V182" s="18"/>
      <c r="W182" s="18" t="e">
        <v>#N/A</v>
      </c>
      <c r="X182" s="19"/>
      <c r="Y182" s="19"/>
      <c r="Z182" s="19"/>
      <c r="AA182" s="19"/>
    </row>
    <row r="183" spans="1:27" ht="14.25" customHeight="1" x14ac:dyDescent="0.3">
      <c r="A183" s="11">
        <v>182</v>
      </c>
      <c r="B183" s="10">
        <v>5</v>
      </c>
      <c r="C183" s="11" t="s">
        <v>23</v>
      </c>
      <c r="D183" s="10">
        <v>94</v>
      </c>
      <c r="E183" s="10">
        <v>11</v>
      </c>
      <c r="F183" s="10">
        <v>199612</v>
      </c>
      <c r="G183" s="10">
        <v>46598</v>
      </c>
      <c r="H183" s="10">
        <v>442</v>
      </c>
      <c r="I183" s="10">
        <v>74361</v>
      </c>
      <c r="J183" s="10">
        <v>24496577</v>
      </c>
      <c r="K183" s="10">
        <v>107460</v>
      </c>
      <c r="L183" s="12">
        <v>2668984</v>
      </c>
      <c r="M183" s="13">
        <f>+_xlfn.XLOOKUP(D183&amp;"-"&amp;E183,'[1]Listado Lotes'!$K$3:$K$385,'[1]Listado Lotes'!$E$3:$E$385)</f>
        <v>398.26</v>
      </c>
      <c r="N183" s="28" t="s">
        <v>233</v>
      </c>
      <c r="O183" s="14" t="e">
        <v>#N/A</v>
      </c>
      <c r="P183" s="15" t="e">
        <v>#N/A</v>
      </c>
      <c r="Q183" s="16" t="e">
        <v>#N/A</v>
      </c>
      <c r="R183" s="16" t="e">
        <v>#N/A</v>
      </c>
      <c r="S183" s="17" t="e">
        <v>#N/A</v>
      </c>
      <c r="T183" s="17" t="e">
        <v>#N/A</v>
      </c>
      <c r="U183" s="18"/>
      <c r="V183" s="18"/>
      <c r="W183" s="18" t="e">
        <v>#N/A</v>
      </c>
      <c r="X183" s="19"/>
      <c r="Y183" s="19"/>
      <c r="Z183" s="19"/>
      <c r="AA183" s="19"/>
    </row>
    <row r="184" spans="1:27" ht="14.25" customHeight="1" x14ac:dyDescent="0.3">
      <c r="A184" s="11">
        <v>183</v>
      </c>
      <c r="B184" s="10">
        <v>5</v>
      </c>
      <c r="C184" s="11" t="s">
        <v>23</v>
      </c>
      <c r="D184" s="10">
        <v>94</v>
      </c>
      <c r="E184" s="10">
        <v>12</v>
      </c>
      <c r="F184" s="10">
        <v>199613</v>
      </c>
      <c r="G184" s="10">
        <v>46599</v>
      </c>
      <c r="H184" s="10">
        <v>442</v>
      </c>
      <c r="I184" s="10">
        <v>74362</v>
      </c>
      <c r="J184" s="10">
        <v>24496587</v>
      </c>
      <c r="K184" s="10">
        <v>107460</v>
      </c>
      <c r="L184" s="12">
        <v>2668984</v>
      </c>
      <c r="M184" s="13">
        <f>+_xlfn.XLOOKUP(D184&amp;"-"&amp;E184,'[1]Listado Lotes'!$K$3:$K$385,'[1]Listado Lotes'!$E$3:$E$385)</f>
        <v>398.26</v>
      </c>
      <c r="N184" s="28" t="s">
        <v>233</v>
      </c>
      <c r="O184" s="14" t="e">
        <v>#N/A</v>
      </c>
      <c r="P184" s="15" t="e">
        <v>#N/A</v>
      </c>
      <c r="Q184" s="16" t="e">
        <v>#N/A</v>
      </c>
      <c r="R184" s="16" t="e">
        <v>#N/A</v>
      </c>
      <c r="S184" s="17" t="e">
        <v>#N/A</v>
      </c>
      <c r="T184" s="17" t="e">
        <v>#N/A</v>
      </c>
      <c r="U184" s="18"/>
      <c r="V184" s="18"/>
      <c r="W184" s="18" t="e">
        <v>#N/A</v>
      </c>
      <c r="X184" s="19"/>
      <c r="Y184" s="19"/>
      <c r="Z184" s="19"/>
      <c r="AA184" s="19"/>
    </row>
    <row r="185" spans="1:27" ht="14.25" customHeight="1" x14ac:dyDescent="0.3">
      <c r="A185" s="11">
        <v>184</v>
      </c>
      <c r="B185" s="10">
        <v>5</v>
      </c>
      <c r="C185" s="11" t="s">
        <v>23</v>
      </c>
      <c r="D185" s="10">
        <v>94</v>
      </c>
      <c r="E185" s="10">
        <v>13</v>
      </c>
      <c r="F185" s="10">
        <v>199614</v>
      </c>
      <c r="G185" s="10">
        <v>46600</v>
      </c>
      <c r="H185" s="10">
        <v>442</v>
      </c>
      <c r="I185" s="10">
        <v>74363</v>
      </c>
      <c r="J185" s="10">
        <v>24496588</v>
      </c>
      <c r="K185" s="10">
        <v>107460</v>
      </c>
      <c r="L185" s="12">
        <v>2668984</v>
      </c>
      <c r="M185" s="13">
        <f>+_xlfn.XLOOKUP(D185&amp;"-"&amp;E185,'[1]Listado Lotes'!$K$3:$K$385,'[1]Listado Lotes'!$E$3:$E$385)</f>
        <v>398.26</v>
      </c>
      <c r="N185" s="28" t="s">
        <v>233</v>
      </c>
      <c r="O185" s="14" t="e">
        <v>#N/A</v>
      </c>
      <c r="P185" s="15" t="e">
        <v>#N/A</v>
      </c>
      <c r="Q185" s="16" t="e">
        <v>#N/A</v>
      </c>
      <c r="R185" s="16" t="e">
        <v>#N/A</v>
      </c>
      <c r="S185" s="17" t="e">
        <v>#N/A</v>
      </c>
      <c r="T185" s="17" t="e">
        <v>#N/A</v>
      </c>
      <c r="U185" s="18"/>
      <c r="V185" s="18"/>
      <c r="W185" s="18" t="e">
        <v>#N/A</v>
      </c>
      <c r="X185" s="19"/>
      <c r="Y185" s="19"/>
      <c r="Z185" s="19"/>
      <c r="AA185" s="19"/>
    </row>
    <row r="186" spans="1:27" ht="14.25" customHeight="1" x14ac:dyDescent="0.3">
      <c r="A186" s="11">
        <v>185</v>
      </c>
      <c r="B186" s="10">
        <v>5</v>
      </c>
      <c r="C186" s="11" t="s">
        <v>23</v>
      </c>
      <c r="D186" s="10">
        <v>94</v>
      </c>
      <c r="E186" s="10">
        <v>14</v>
      </c>
      <c r="F186" s="10">
        <v>199615</v>
      </c>
      <c r="G186" s="10">
        <v>46601</v>
      </c>
      <c r="H186" s="10">
        <v>442</v>
      </c>
      <c r="I186" s="10">
        <v>74364</v>
      </c>
      <c r="J186" s="10">
        <v>24496593</v>
      </c>
      <c r="K186" s="10">
        <v>107460</v>
      </c>
      <c r="L186" s="12">
        <v>2668984</v>
      </c>
      <c r="M186" s="13">
        <f>+_xlfn.XLOOKUP(D186&amp;"-"&amp;E186,'[1]Listado Lotes'!$K$3:$K$385,'[1]Listado Lotes'!$E$3:$E$385)</f>
        <v>398.26</v>
      </c>
      <c r="N186" s="28" t="s">
        <v>233</v>
      </c>
      <c r="O186" s="14" t="e">
        <v>#N/A</v>
      </c>
      <c r="P186" s="15" t="e">
        <v>#N/A</v>
      </c>
      <c r="Q186" s="16" t="e">
        <v>#N/A</v>
      </c>
      <c r="R186" s="16" t="e">
        <v>#N/A</v>
      </c>
      <c r="S186" s="17" t="e">
        <v>#N/A</v>
      </c>
      <c r="T186" s="17" t="e">
        <v>#N/A</v>
      </c>
      <c r="U186" s="18"/>
      <c r="V186" s="18"/>
      <c r="W186" s="18" t="e">
        <v>#N/A</v>
      </c>
      <c r="X186" s="19"/>
      <c r="Y186" s="19"/>
      <c r="Z186" s="19"/>
      <c r="AA186" s="19"/>
    </row>
    <row r="187" spans="1:27" ht="14.25" customHeight="1" x14ac:dyDescent="0.3">
      <c r="A187" s="11">
        <v>186</v>
      </c>
      <c r="B187" s="10">
        <v>5</v>
      </c>
      <c r="C187" s="11" t="s">
        <v>23</v>
      </c>
      <c r="D187" s="10">
        <v>94</v>
      </c>
      <c r="E187" s="10">
        <v>15</v>
      </c>
      <c r="F187" s="10">
        <v>199616</v>
      </c>
      <c r="G187" s="10">
        <v>46602</v>
      </c>
      <c r="H187" s="10">
        <v>442</v>
      </c>
      <c r="I187" s="10">
        <v>74365</v>
      </c>
      <c r="J187" s="10">
        <v>24496670</v>
      </c>
      <c r="K187" s="10">
        <v>107460</v>
      </c>
      <c r="L187" s="12">
        <v>2668984</v>
      </c>
      <c r="M187" s="13">
        <f>+_xlfn.XLOOKUP(D187&amp;"-"&amp;E187,'[1]Listado Lotes'!$K$3:$K$385,'[1]Listado Lotes'!$E$3:$E$385)</f>
        <v>398.26</v>
      </c>
      <c r="N187" s="28" t="s">
        <v>233</v>
      </c>
      <c r="O187" s="14" t="e">
        <v>#N/A</v>
      </c>
      <c r="P187" s="15" t="e">
        <v>#N/A</v>
      </c>
      <c r="Q187" s="16" t="e">
        <v>#N/A</v>
      </c>
      <c r="R187" s="16" t="e">
        <v>#N/A</v>
      </c>
      <c r="S187" s="17" t="e">
        <v>#N/A</v>
      </c>
      <c r="T187" s="17" t="e">
        <v>#N/A</v>
      </c>
      <c r="U187" s="18"/>
      <c r="V187" s="18"/>
      <c r="W187" s="18" t="e">
        <v>#N/A</v>
      </c>
      <c r="X187" s="19"/>
      <c r="Y187" s="19"/>
      <c r="Z187" s="19"/>
      <c r="AA187" s="19"/>
    </row>
    <row r="188" spans="1:27" ht="14.25" customHeight="1" x14ac:dyDescent="0.3">
      <c r="A188" s="11">
        <v>187</v>
      </c>
      <c r="B188" s="10">
        <v>5</v>
      </c>
      <c r="C188" s="11" t="s">
        <v>23</v>
      </c>
      <c r="D188" s="10">
        <v>94</v>
      </c>
      <c r="E188" s="10">
        <v>16</v>
      </c>
      <c r="F188" s="10">
        <v>199617</v>
      </c>
      <c r="G188" s="10">
        <v>46603</v>
      </c>
      <c r="H188" s="10">
        <v>442</v>
      </c>
      <c r="I188" s="10">
        <v>74366</v>
      </c>
      <c r="J188" s="10">
        <v>24496671</v>
      </c>
      <c r="K188" s="10">
        <v>93432</v>
      </c>
      <c r="L188" s="12">
        <v>2320570</v>
      </c>
      <c r="M188" s="13">
        <f>+_xlfn.XLOOKUP(D188&amp;"-"&amp;E188,'[1]Listado Lotes'!$K$3:$K$385,'[1]Listado Lotes'!$E$3:$E$385)</f>
        <v>229.5</v>
      </c>
      <c r="N188" s="28" t="s">
        <v>233</v>
      </c>
      <c r="O188" s="14" t="e">
        <v>#N/A</v>
      </c>
      <c r="P188" s="15" t="e">
        <v>#N/A</v>
      </c>
      <c r="Q188" s="16" t="e">
        <v>#N/A</v>
      </c>
      <c r="R188" s="16" t="e">
        <v>#N/A</v>
      </c>
      <c r="S188" s="17" t="e">
        <v>#N/A</v>
      </c>
      <c r="T188" s="17" t="e">
        <v>#N/A</v>
      </c>
      <c r="U188" s="18"/>
      <c r="V188" s="18"/>
      <c r="W188" s="18" t="e">
        <v>#N/A</v>
      </c>
      <c r="X188" s="19"/>
      <c r="Y188" s="19"/>
      <c r="Z188" s="19"/>
      <c r="AA188" s="19"/>
    </row>
    <row r="189" spans="1:27" ht="14.25" customHeight="1" x14ac:dyDescent="0.3">
      <c r="A189" s="11">
        <v>188</v>
      </c>
      <c r="B189" s="10">
        <v>5</v>
      </c>
      <c r="C189" s="11" t="s">
        <v>23</v>
      </c>
      <c r="D189" s="10">
        <v>94</v>
      </c>
      <c r="E189" s="10">
        <v>17</v>
      </c>
      <c r="F189" s="10">
        <v>199618</v>
      </c>
      <c r="G189" s="10">
        <v>46604</v>
      </c>
      <c r="H189" s="10">
        <v>442</v>
      </c>
      <c r="I189" s="10">
        <v>74367</v>
      </c>
      <c r="J189" s="10">
        <v>24496672</v>
      </c>
      <c r="K189" s="10">
        <v>75114</v>
      </c>
      <c r="L189" s="12">
        <v>1865606</v>
      </c>
      <c r="M189" s="13">
        <f>+_xlfn.XLOOKUP(D189&amp;"-"&amp;E189,'[1]Listado Lotes'!$K$3:$K$385,'[1]Listado Lotes'!$E$3:$E$385)</f>
        <v>233.98</v>
      </c>
      <c r="N189" s="28" t="s">
        <v>233</v>
      </c>
      <c r="O189" s="14" t="e">
        <v>#N/A</v>
      </c>
      <c r="P189" s="15" t="e">
        <v>#N/A</v>
      </c>
      <c r="Q189" s="16" t="e">
        <v>#N/A</v>
      </c>
      <c r="R189" s="16" t="e">
        <v>#N/A</v>
      </c>
      <c r="S189" s="17" t="e">
        <v>#N/A</v>
      </c>
      <c r="T189" s="17" t="e">
        <v>#N/A</v>
      </c>
      <c r="U189" s="18"/>
      <c r="V189" s="18"/>
      <c r="W189" s="18" t="e">
        <v>#N/A</v>
      </c>
      <c r="X189" s="19"/>
      <c r="Y189" s="19"/>
      <c r="Z189" s="19"/>
      <c r="AA189" s="19"/>
    </row>
    <row r="190" spans="1:27" ht="14.25" customHeight="1" x14ac:dyDescent="0.3">
      <c r="A190" s="11">
        <v>189</v>
      </c>
      <c r="B190" s="10">
        <v>5</v>
      </c>
      <c r="C190" s="11" t="s">
        <v>23</v>
      </c>
      <c r="D190" s="10">
        <v>94</v>
      </c>
      <c r="E190" s="10">
        <v>18</v>
      </c>
      <c r="F190" s="10">
        <v>199619</v>
      </c>
      <c r="G190" s="10">
        <v>46605</v>
      </c>
      <c r="H190" s="10">
        <v>442</v>
      </c>
      <c r="I190" s="10">
        <v>74368</v>
      </c>
      <c r="J190" s="10">
        <v>24496678</v>
      </c>
      <c r="K190" s="10">
        <v>75114</v>
      </c>
      <c r="L190" s="12">
        <v>1865606</v>
      </c>
      <c r="M190" s="13">
        <f>+_xlfn.XLOOKUP(D190&amp;"-"&amp;E190,'[1]Listado Lotes'!$K$3:$K$385,'[1]Listado Lotes'!$E$3:$E$385)</f>
        <v>233.98</v>
      </c>
      <c r="N190" s="28" t="s">
        <v>233</v>
      </c>
      <c r="O190" s="14" t="e">
        <v>#N/A</v>
      </c>
      <c r="P190" s="15" t="e">
        <v>#N/A</v>
      </c>
      <c r="Q190" s="16" t="e">
        <v>#N/A</v>
      </c>
      <c r="R190" s="16" t="e">
        <v>#N/A</v>
      </c>
      <c r="S190" s="17" t="e">
        <v>#N/A</v>
      </c>
      <c r="T190" s="17" t="e">
        <v>#N/A</v>
      </c>
      <c r="U190" s="18"/>
      <c r="V190" s="18"/>
      <c r="W190" s="18" t="e">
        <v>#N/A</v>
      </c>
      <c r="X190" s="19"/>
      <c r="Y190" s="19"/>
      <c r="Z190" s="19"/>
      <c r="AA190" s="19"/>
    </row>
    <row r="191" spans="1:27" ht="14.25" customHeight="1" x14ac:dyDescent="0.3">
      <c r="A191" s="11">
        <v>190</v>
      </c>
      <c r="B191" s="10">
        <v>5</v>
      </c>
      <c r="C191" s="11" t="s">
        <v>23</v>
      </c>
      <c r="D191" s="10">
        <v>94</v>
      </c>
      <c r="E191" s="10">
        <v>19</v>
      </c>
      <c r="F191" s="10">
        <v>199620</v>
      </c>
      <c r="G191" s="10">
        <v>46606</v>
      </c>
      <c r="H191" s="10">
        <v>442</v>
      </c>
      <c r="I191" s="10">
        <v>74369</v>
      </c>
      <c r="J191" s="10">
        <v>24496681</v>
      </c>
      <c r="K191" s="10">
        <v>75114</v>
      </c>
      <c r="L191" s="12">
        <v>1865606</v>
      </c>
      <c r="M191" s="13">
        <f>+_xlfn.XLOOKUP(D191&amp;"-"&amp;E191,'[1]Listado Lotes'!$K$3:$K$385,'[1]Listado Lotes'!$E$3:$E$385)</f>
        <v>233.98</v>
      </c>
      <c r="N191" s="28" t="s">
        <v>233</v>
      </c>
      <c r="O191" s="14" t="e">
        <v>#N/A</v>
      </c>
      <c r="P191" s="15" t="e">
        <v>#N/A</v>
      </c>
      <c r="Q191" s="16" t="e">
        <v>#N/A</v>
      </c>
      <c r="R191" s="16" t="e">
        <v>#N/A</v>
      </c>
      <c r="S191" s="17" t="e">
        <v>#N/A</v>
      </c>
      <c r="T191" s="17" t="e">
        <v>#N/A</v>
      </c>
      <c r="U191" s="18"/>
      <c r="V191" s="18"/>
      <c r="W191" s="18" t="e">
        <v>#N/A</v>
      </c>
      <c r="X191" s="19"/>
      <c r="Y191" s="19"/>
      <c r="Z191" s="19"/>
      <c r="AA191" s="19"/>
    </row>
    <row r="192" spans="1:27" ht="14.25" customHeight="1" x14ac:dyDescent="0.3">
      <c r="A192" s="11">
        <v>191</v>
      </c>
      <c r="B192" s="10">
        <v>5</v>
      </c>
      <c r="C192" s="11" t="s">
        <v>23</v>
      </c>
      <c r="D192" s="10">
        <v>94</v>
      </c>
      <c r="E192" s="10">
        <v>20</v>
      </c>
      <c r="F192" s="10">
        <v>199621</v>
      </c>
      <c r="G192" s="10">
        <v>46607</v>
      </c>
      <c r="H192" s="10">
        <v>442</v>
      </c>
      <c r="I192" s="10">
        <v>74370</v>
      </c>
      <c r="J192" s="10">
        <v>24496685</v>
      </c>
      <c r="K192" s="10">
        <v>75114</v>
      </c>
      <c r="L192" s="12">
        <v>1865606</v>
      </c>
      <c r="M192" s="13">
        <f>+_xlfn.XLOOKUP(D192&amp;"-"&amp;E192,'[1]Listado Lotes'!$K$3:$K$385,'[1]Listado Lotes'!$E$3:$E$385)</f>
        <v>233.98</v>
      </c>
      <c r="N192" s="28" t="s">
        <v>233</v>
      </c>
      <c r="O192" s="14" t="e">
        <v>#N/A</v>
      </c>
      <c r="P192" s="15" t="e">
        <v>#N/A</v>
      </c>
      <c r="Q192" s="16" t="e">
        <v>#N/A</v>
      </c>
      <c r="R192" s="16" t="e">
        <v>#N/A</v>
      </c>
      <c r="S192" s="17" t="e">
        <v>#N/A</v>
      </c>
      <c r="T192" s="17" t="e">
        <v>#N/A</v>
      </c>
      <c r="U192" s="18"/>
      <c r="V192" s="18"/>
      <c r="W192" s="18" t="e">
        <v>#N/A</v>
      </c>
      <c r="X192" s="19"/>
      <c r="Y192" s="19"/>
      <c r="Z192" s="19"/>
      <c r="AA192" s="19"/>
    </row>
    <row r="193" spans="1:27" ht="14.25" customHeight="1" x14ac:dyDescent="0.3">
      <c r="A193" s="11">
        <v>192</v>
      </c>
      <c r="B193" s="10">
        <v>5</v>
      </c>
      <c r="C193" s="11" t="s">
        <v>23</v>
      </c>
      <c r="D193" s="10">
        <v>94</v>
      </c>
      <c r="E193" s="10">
        <v>21</v>
      </c>
      <c r="F193" s="10">
        <v>199622</v>
      </c>
      <c r="G193" s="10">
        <v>4608</v>
      </c>
      <c r="H193" s="10">
        <v>442</v>
      </c>
      <c r="I193" s="10">
        <v>74379</v>
      </c>
      <c r="J193" s="10">
        <v>24496741</v>
      </c>
      <c r="K193" s="10">
        <v>75114</v>
      </c>
      <c r="L193" s="12">
        <v>1865606</v>
      </c>
      <c r="M193" s="13">
        <f>+_xlfn.XLOOKUP(D193&amp;"-"&amp;E193,'[1]Listado Lotes'!$K$3:$K$385,'[1]Listado Lotes'!$E$3:$E$385)</f>
        <v>233.98</v>
      </c>
      <c r="N193" s="28" t="s">
        <v>233</v>
      </c>
      <c r="O193" s="14" t="e">
        <v>#N/A</v>
      </c>
      <c r="P193" s="15" t="e">
        <v>#N/A</v>
      </c>
      <c r="Q193" s="16" t="e">
        <v>#N/A</v>
      </c>
      <c r="R193" s="16" t="e">
        <v>#N/A</v>
      </c>
      <c r="S193" s="17" t="e">
        <v>#N/A</v>
      </c>
      <c r="T193" s="17" t="e">
        <v>#N/A</v>
      </c>
      <c r="U193" s="18"/>
      <c r="V193" s="18"/>
      <c r="W193" s="18" t="e">
        <v>#N/A</v>
      </c>
      <c r="X193" s="19"/>
      <c r="Y193" s="19"/>
      <c r="Z193" s="19"/>
      <c r="AA193" s="19"/>
    </row>
    <row r="194" spans="1:27" ht="14.25" customHeight="1" x14ac:dyDescent="0.3">
      <c r="A194" s="11">
        <v>193</v>
      </c>
      <c r="B194" s="10">
        <v>5</v>
      </c>
      <c r="C194" s="11" t="s">
        <v>23</v>
      </c>
      <c r="D194" s="10">
        <v>94</v>
      </c>
      <c r="E194" s="10">
        <v>22</v>
      </c>
      <c r="F194" s="10">
        <v>199623</v>
      </c>
      <c r="G194" s="10">
        <v>46609</v>
      </c>
      <c r="H194" s="10">
        <v>442</v>
      </c>
      <c r="I194" s="10">
        <v>74380</v>
      </c>
      <c r="J194" s="10">
        <v>24496744</v>
      </c>
      <c r="K194" s="10">
        <v>110880</v>
      </c>
      <c r="L194" s="12">
        <v>2753926</v>
      </c>
      <c r="M194" s="13">
        <f>+_xlfn.XLOOKUP(D194&amp;"-"&amp;E194,'[1]Listado Lotes'!$K$3:$K$385,'[1]Listado Lotes'!$E$3:$E$385)</f>
        <v>230.52</v>
      </c>
      <c r="N194" s="28" t="s">
        <v>233</v>
      </c>
      <c r="O194" s="14" t="e">
        <v>#N/A</v>
      </c>
      <c r="P194" s="15" t="e">
        <v>#N/A</v>
      </c>
      <c r="Q194" s="16" t="e">
        <v>#N/A</v>
      </c>
      <c r="R194" s="16" t="e">
        <v>#N/A</v>
      </c>
      <c r="S194" s="17" t="e">
        <v>#N/A</v>
      </c>
      <c r="T194" s="17" t="e">
        <v>#N/A</v>
      </c>
      <c r="U194" s="18"/>
      <c r="V194" s="18"/>
      <c r="W194" s="18" t="e">
        <v>#N/A</v>
      </c>
      <c r="X194" s="19"/>
      <c r="Y194" s="19"/>
      <c r="Z194" s="19"/>
      <c r="AA194" s="19"/>
    </row>
    <row r="195" spans="1:27" ht="14.25" customHeight="1" x14ac:dyDescent="0.3">
      <c r="A195" s="11">
        <v>194</v>
      </c>
      <c r="B195" s="10">
        <v>5</v>
      </c>
      <c r="C195" s="11" t="s">
        <v>23</v>
      </c>
      <c r="D195" s="10">
        <v>94</v>
      </c>
      <c r="E195" s="10">
        <v>23</v>
      </c>
      <c r="F195" s="10">
        <v>199624</v>
      </c>
      <c r="G195" s="10">
        <v>46610</v>
      </c>
      <c r="H195" s="10">
        <v>442</v>
      </c>
      <c r="I195" s="10">
        <v>74381</v>
      </c>
      <c r="J195" s="10">
        <v>24496747</v>
      </c>
      <c r="K195" s="10">
        <v>81075</v>
      </c>
      <c r="L195" s="12">
        <v>2013674</v>
      </c>
      <c r="M195" s="13">
        <f>+_xlfn.XLOOKUP(D195&amp;"-"&amp;E195,'[1]Listado Lotes'!$K$3:$K$385,'[1]Listado Lotes'!$E$3:$E$385)</f>
        <v>235</v>
      </c>
      <c r="N195" s="28" t="s">
        <v>233</v>
      </c>
      <c r="O195" s="14" t="e">
        <v>#N/A</v>
      </c>
      <c r="P195" s="15" t="e">
        <v>#N/A</v>
      </c>
      <c r="Q195" s="16" t="e">
        <v>#N/A</v>
      </c>
      <c r="R195" s="16" t="e">
        <v>#N/A</v>
      </c>
      <c r="S195" s="17" t="e">
        <v>#N/A</v>
      </c>
      <c r="T195" s="17" t="e">
        <v>#N/A</v>
      </c>
      <c r="U195" s="18"/>
      <c r="V195" s="18"/>
      <c r="W195" s="18" t="e">
        <v>#N/A</v>
      </c>
      <c r="X195" s="19"/>
      <c r="Y195" s="19"/>
      <c r="Z195" s="19"/>
      <c r="AA195" s="19"/>
    </row>
    <row r="196" spans="1:27" ht="14.25" customHeight="1" x14ac:dyDescent="0.3">
      <c r="A196" s="11">
        <v>195</v>
      </c>
      <c r="B196" s="10">
        <v>5</v>
      </c>
      <c r="C196" s="11" t="s">
        <v>23</v>
      </c>
      <c r="D196" s="10">
        <v>94</v>
      </c>
      <c r="E196" s="10">
        <v>24</v>
      </c>
      <c r="F196" s="10">
        <v>199625</v>
      </c>
      <c r="G196" s="10">
        <v>46611</v>
      </c>
      <c r="H196" s="10">
        <v>442</v>
      </c>
      <c r="I196" s="10">
        <v>74382</v>
      </c>
      <c r="J196" s="10">
        <v>24496752</v>
      </c>
      <c r="K196" s="10">
        <v>107730</v>
      </c>
      <c r="L196" s="12">
        <v>2675690</v>
      </c>
      <c r="M196" s="13">
        <f>+_xlfn.XLOOKUP(D196&amp;"-"&amp;E196,'[1]Listado Lotes'!$K$3:$K$385,'[1]Listado Lotes'!$E$3:$E$385)</f>
        <v>399.15</v>
      </c>
      <c r="N196" s="28" t="s">
        <v>233</v>
      </c>
      <c r="O196" s="14" t="e">
        <v>#N/A</v>
      </c>
      <c r="P196" s="15" t="e">
        <v>#N/A</v>
      </c>
      <c r="Q196" s="16" t="e">
        <v>#N/A</v>
      </c>
      <c r="R196" s="16" t="e">
        <v>#N/A</v>
      </c>
      <c r="S196" s="17" t="e">
        <v>#N/A</v>
      </c>
      <c r="T196" s="17" t="e">
        <v>#N/A</v>
      </c>
      <c r="U196" s="18"/>
      <c r="V196" s="18"/>
      <c r="W196" s="18" t="e">
        <v>#N/A</v>
      </c>
      <c r="X196" s="19"/>
      <c r="Y196" s="19"/>
      <c r="Z196" s="19"/>
      <c r="AA196" s="19"/>
    </row>
    <row r="197" spans="1:27" ht="14.25" customHeight="1" x14ac:dyDescent="0.3">
      <c r="A197" s="11">
        <v>196</v>
      </c>
      <c r="B197" s="10">
        <v>5</v>
      </c>
      <c r="C197" s="11" t="s">
        <v>23</v>
      </c>
      <c r="D197" s="10">
        <v>94</v>
      </c>
      <c r="E197" s="10">
        <v>25</v>
      </c>
      <c r="F197" s="10">
        <v>199626</v>
      </c>
      <c r="G197" s="10">
        <v>46612</v>
      </c>
      <c r="H197" s="10">
        <v>442</v>
      </c>
      <c r="I197" s="10">
        <v>74383</v>
      </c>
      <c r="J197" s="10">
        <v>24496753</v>
      </c>
      <c r="K197" s="10">
        <v>107730</v>
      </c>
      <c r="L197" s="12">
        <v>2675690</v>
      </c>
      <c r="M197" s="13">
        <f>+_xlfn.XLOOKUP(D197&amp;"-"&amp;E197,'[1]Listado Lotes'!$K$3:$K$385,'[1]Listado Lotes'!$E$3:$E$385)</f>
        <v>399.15</v>
      </c>
      <c r="N197" s="28" t="s">
        <v>233</v>
      </c>
      <c r="O197" s="14" t="e">
        <v>#N/A</v>
      </c>
      <c r="P197" s="15" t="e">
        <v>#N/A</v>
      </c>
      <c r="Q197" s="16" t="e">
        <v>#N/A</v>
      </c>
      <c r="R197" s="16" t="e">
        <v>#N/A</v>
      </c>
      <c r="S197" s="17" t="e">
        <v>#N/A</v>
      </c>
      <c r="T197" s="17" t="e">
        <v>#N/A</v>
      </c>
      <c r="U197" s="18"/>
      <c r="V197" s="18"/>
      <c r="W197" s="18" t="e">
        <v>#N/A</v>
      </c>
      <c r="X197" s="19"/>
      <c r="Y197" s="19"/>
      <c r="Z197" s="19"/>
      <c r="AA197" s="19"/>
    </row>
    <row r="198" spans="1:27" ht="14.25" customHeight="1" x14ac:dyDescent="0.3">
      <c r="A198" s="11">
        <v>197</v>
      </c>
      <c r="B198" s="10">
        <v>5</v>
      </c>
      <c r="C198" s="11" t="s">
        <v>23</v>
      </c>
      <c r="D198" s="10">
        <v>94</v>
      </c>
      <c r="E198" s="10">
        <v>26</v>
      </c>
      <c r="F198" s="10">
        <v>199627</v>
      </c>
      <c r="G198" s="10">
        <v>46613</v>
      </c>
      <c r="H198" s="10">
        <v>442</v>
      </c>
      <c r="I198" s="10">
        <v>74374</v>
      </c>
      <c r="J198" s="10">
        <v>24496754</v>
      </c>
      <c r="K198" s="10">
        <v>107730</v>
      </c>
      <c r="L198" s="12">
        <v>2675690</v>
      </c>
      <c r="M198" s="13">
        <f>+_xlfn.XLOOKUP(D198&amp;"-"&amp;E198,'[1]Listado Lotes'!$K$3:$K$385,'[1]Listado Lotes'!$E$3:$E$385)</f>
        <v>399.15</v>
      </c>
      <c r="N198" s="28" t="s">
        <v>233</v>
      </c>
      <c r="O198" s="14" t="e">
        <v>#N/A</v>
      </c>
      <c r="P198" s="15" t="e">
        <v>#N/A</v>
      </c>
      <c r="Q198" s="16" t="e">
        <v>#N/A</v>
      </c>
      <c r="R198" s="16" t="e">
        <v>#N/A</v>
      </c>
      <c r="S198" s="17" t="e">
        <v>#N/A</v>
      </c>
      <c r="T198" s="17" t="e">
        <v>#N/A</v>
      </c>
      <c r="U198" s="18"/>
      <c r="V198" s="18"/>
      <c r="W198" s="18" t="e">
        <v>#N/A</v>
      </c>
      <c r="X198" s="19"/>
      <c r="Y198" s="19"/>
      <c r="Z198" s="19"/>
      <c r="AA198" s="19"/>
    </row>
    <row r="199" spans="1:27" ht="14.25" customHeight="1" x14ac:dyDescent="0.3">
      <c r="A199" s="11">
        <v>198</v>
      </c>
      <c r="B199" s="10">
        <v>5</v>
      </c>
      <c r="C199" s="11" t="s">
        <v>23</v>
      </c>
      <c r="D199" s="10">
        <v>94</v>
      </c>
      <c r="E199" s="10">
        <v>27</v>
      </c>
      <c r="F199" s="10">
        <v>199628</v>
      </c>
      <c r="G199" s="10">
        <v>46614</v>
      </c>
      <c r="H199" s="10">
        <v>442</v>
      </c>
      <c r="I199" s="10">
        <v>74397</v>
      </c>
      <c r="J199" s="10">
        <v>24496757</v>
      </c>
      <c r="K199" s="10">
        <v>107730</v>
      </c>
      <c r="L199" s="12">
        <v>2675690</v>
      </c>
      <c r="M199" s="13">
        <f>+_xlfn.XLOOKUP(D199&amp;"-"&amp;E199,'[1]Listado Lotes'!$K$3:$K$385,'[1]Listado Lotes'!$E$3:$E$385)</f>
        <v>399.15</v>
      </c>
      <c r="N199" s="28" t="s">
        <v>233</v>
      </c>
      <c r="O199" s="14" t="e">
        <v>#N/A</v>
      </c>
      <c r="P199" s="15" t="e">
        <v>#N/A</v>
      </c>
      <c r="Q199" s="16" t="e">
        <v>#N/A</v>
      </c>
      <c r="R199" s="16" t="e">
        <v>#N/A</v>
      </c>
      <c r="S199" s="17" t="e">
        <v>#N/A</v>
      </c>
      <c r="T199" s="17" t="e">
        <v>#N/A</v>
      </c>
      <c r="U199" s="18"/>
      <c r="V199" s="18"/>
      <c r="W199" s="18" t="e">
        <v>#N/A</v>
      </c>
      <c r="X199" s="19"/>
      <c r="Y199" s="19"/>
      <c r="Z199" s="19"/>
      <c r="AA199" s="19"/>
    </row>
    <row r="200" spans="1:27" ht="14.25" customHeight="1" x14ac:dyDescent="0.3">
      <c r="A200" s="11">
        <v>199</v>
      </c>
      <c r="B200" s="10">
        <v>5</v>
      </c>
      <c r="C200" s="11" t="s">
        <v>23</v>
      </c>
      <c r="D200" s="10">
        <v>94</v>
      </c>
      <c r="E200" s="10">
        <v>28</v>
      </c>
      <c r="F200" s="10">
        <v>199629</v>
      </c>
      <c r="G200" s="10">
        <v>46615</v>
      </c>
      <c r="H200" s="10">
        <v>442</v>
      </c>
      <c r="I200" s="10">
        <v>74398</v>
      </c>
      <c r="J200" s="10">
        <v>24496760</v>
      </c>
      <c r="K200" s="10">
        <v>107730</v>
      </c>
      <c r="L200" s="12">
        <v>2675690</v>
      </c>
      <c r="M200" s="13">
        <f>+_xlfn.XLOOKUP(D200&amp;"-"&amp;E200,'[1]Listado Lotes'!$K$3:$K$385,'[1]Listado Lotes'!$E$3:$E$385)</f>
        <v>399.15</v>
      </c>
      <c r="N200" s="28" t="s">
        <v>233</v>
      </c>
      <c r="O200" s="14" t="e">
        <v>#N/A</v>
      </c>
      <c r="P200" s="15" t="e">
        <v>#N/A</v>
      </c>
      <c r="Q200" s="16" t="e">
        <v>#N/A</v>
      </c>
      <c r="R200" s="16" t="e">
        <v>#N/A</v>
      </c>
      <c r="S200" s="17" t="e">
        <v>#N/A</v>
      </c>
      <c r="T200" s="17" t="e">
        <v>#N/A</v>
      </c>
      <c r="U200" s="18"/>
      <c r="V200" s="18"/>
      <c r="W200" s="18" t="e">
        <v>#N/A</v>
      </c>
      <c r="X200" s="19"/>
      <c r="Y200" s="19"/>
      <c r="Z200" s="19"/>
      <c r="AA200" s="19"/>
    </row>
    <row r="201" spans="1:27" ht="14.25" customHeight="1" x14ac:dyDescent="0.3">
      <c r="A201" s="11">
        <v>200</v>
      </c>
      <c r="B201" s="10">
        <v>5</v>
      </c>
      <c r="C201" s="11" t="s">
        <v>23</v>
      </c>
      <c r="D201" s="10">
        <v>94</v>
      </c>
      <c r="E201" s="10">
        <v>29</v>
      </c>
      <c r="F201" s="10">
        <v>199630</v>
      </c>
      <c r="G201" s="10">
        <v>46616</v>
      </c>
      <c r="H201" s="10">
        <v>442</v>
      </c>
      <c r="I201" s="10">
        <v>75773</v>
      </c>
      <c r="J201" s="10">
        <v>24496768</v>
      </c>
      <c r="K201" s="10">
        <v>107730</v>
      </c>
      <c r="L201" s="12">
        <v>2675690</v>
      </c>
      <c r="M201" s="13">
        <f>+_xlfn.XLOOKUP(D201&amp;"-"&amp;E201,'[1]Listado Lotes'!$K$3:$K$385,'[1]Listado Lotes'!$E$3:$E$385)</f>
        <v>399.15</v>
      </c>
      <c r="N201" s="28" t="s">
        <v>233</v>
      </c>
      <c r="O201" s="14" t="e">
        <v>#N/A</v>
      </c>
      <c r="P201" s="15" t="e">
        <v>#N/A</v>
      </c>
      <c r="Q201" s="16" t="e">
        <v>#N/A</v>
      </c>
      <c r="R201" s="16" t="e">
        <v>#N/A</v>
      </c>
      <c r="S201" s="17" t="e">
        <v>#N/A</v>
      </c>
      <c r="T201" s="17" t="e">
        <v>#N/A</v>
      </c>
      <c r="U201" s="18"/>
      <c r="V201" s="18"/>
      <c r="W201" s="18" t="e">
        <v>#N/A</v>
      </c>
      <c r="X201" s="19"/>
      <c r="Y201" s="19"/>
      <c r="Z201" s="19"/>
      <c r="AA201" s="19"/>
    </row>
    <row r="202" spans="1:27" ht="14.25" customHeight="1" x14ac:dyDescent="0.3">
      <c r="A202" s="11">
        <v>201</v>
      </c>
      <c r="B202" s="10">
        <v>5</v>
      </c>
      <c r="C202" s="11" t="s">
        <v>23</v>
      </c>
      <c r="D202" s="10">
        <v>94</v>
      </c>
      <c r="E202" s="10">
        <v>30</v>
      </c>
      <c r="F202" s="10">
        <v>199631</v>
      </c>
      <c r="G202" s="10">
        <v>46617</v>
      </c>
      <c r="H202" s="10">
        <v>442</v>
      </c>
      <c r="I202" s="10">
        <v>75774</v>
      </c>
      <c r="J202" s="10">
        <v>24496772</v>
      </c>
      <c r="K202" s="10">
        <v>107730</v>
      </c>
      <c r="L202" s="12">
        <v>2675690</v>
      </c>
      <c r="M202" s="13">
        <f>+_xlfn.XLOOKUP(D202&amp;"-"&amp;E202,'[1]Listado Lotes'!$K$3:$K$385,'[1]Listado Lotes'!$E$3:$E$385)</f>
        <v>399.15</v>
      </c>
      <c r="N202" s="28" t="s">
        <v>233</v>
      </c>
      <c r="O202" s="14" t="e">
        <v>#N/A</v>
      </c>
      <c r="P202" s="15" t="e">
        <v>#N/A</v>
      </c>
      <c r="Q202" s="16" t="e">
        <v>#N/A</v>
      </c>
      <c r="R202" s="16" t="e">
        <v>#N/A</v>
      </c>
      <c r="S202" s="17" t="e">
        <v>#N/A</v>
      </c>
      <c r="T202" s="17" t="e">
        <v>#N/A</v>
      </c>
      <c r="U202" s="18"/>
      <c r="V202" s="18"/>
      <c r="W202" s="18" t="e">
        <v>#N/A</v>
      </c>
      <c r="X202" s="19"/>
      <c r="Y202" s="19"/>
      <c r="Z202" s="19"/>
      <c r="AA202" s="19"/>
    </row>
    <row r="203" spans="1:27" ht="14.25" customHeight="1" x14ac:dyDescent="0.3">
      <c r="A203" s="11">
        <v>202</v>
      </c>
      <c r="B203" s="10">
        <v>5</v>
      </c>
      <c r="C203" s="11" t="s">
        <v>23</v>
      </c>
      <c r="D203" s="10">
        <v>94</v>
      </c>
      <c r="E203" s="10">
        <v>31</v>
      </c>
      <c r="F203" s="10">
        <v>199632</v>
      </c>
      <c r="G203" s="10">
        <v>46618</v>
      </c>
      <c r="H203" s="10">
        <v>442</v>
      </c>
      <c r="I203" s="10">
        <v>75775</v>
      </c>
      <c r="J203" s="10">
        <v>24496773</v>
      </c>
      <c r="K203" s="10">
        <v>107730</v>
      </c>
      <c r="L203" s="12">
        <v>2675690</v>
      </c>
      <c r="M203" s="13">
        <f>+_xlfn.XLOOKUP(D203&amp;"-"&amp;E203,'[1]Listado Lotes'!$K$3:$K$385,'[1]Listado Lotes'!$E$3:$E$385)</f>
        <v>399.15</v>
      </c>
      <c r="N203" s="28" t="s">
        <v>233</v>
      </c>
      <c r="O203" s="14" t="e">
        <v>#N/A</v>
      </c>
      <c r="P203" s="15" t="e">
        <v>#N/A</v>
      </c>
      <c r="Q203" s="16" t="e">
        <v>#N/A</v>
      </c>
      <c r="R203" s="16" t="e">
        <v>#N/A</v>
      </c>
      <c r="S203" s="17" t="e">
        <v>#N/A</v>
      </c>
      <c r="T203" s="17" t="e">
        <v>#N/A</v>
      </c>
      <c r="U203" s="18"/>
      <c r="V203" s="18"/>
      <c r="W203" s="18" t="e">
        <v>#N/A</v>
      </c>
      <c r="X203" s="19"/>
      <c r="Y203" s="19"/>
      <c r="Z203" s="19"/>
      <c r="AA203" s="19"/>
    </row>
    <row r="204" spans="1:27" ht="14.25" customHeight="1" x14ac:dyDescent="0.3">
      <c r="A204" s="11">
        <v>203</v>
      </c>
      <c r="B204" s="10">
        <v>5</v>
      </c>
      <c r="C204" s="11" t="s">
        <v>23</v>
      </c>
      <c r="D204" s="10">
        <v>94</v>
      </c>
      <c r="E204" s="10">
        <v>32</v>
      </c>
      <c r="F204" s="10">
        <v>199633</v>
      </c>
      <c r="G204" s="10">
        <v>46619</v>
      </c>
      <c r="H204" s="10">
        <v>442</v>
      </c>
      <c r="I204" s="10">
        <v>75776</v>
      </c>
      <c r="J204" s="10">
        <v>24496775</v>
      </c>
      <c r="K204" s="10">
        <v>81075</v>
      </c>
      <c r="L204" s="12">
        <v>2013674</v>
      </c>
      <c r="M204" s="13">
        <f>+_xlfn.XLOOKUP(D204&amp;"-"&amp;E204,'[1]Listado Lotes'!$K$3:$K$385,'[1]Listado Lotes'!$E$3:$E$385)</f>
        <v>235</v>
      </c>
      <c r="N204" s="28" t="s">
        <v>233</v>
      </c>
      <c r="O204" s="14" t="e">
        <v>#N/A</v>
      </c>
      <c r="P204" s="15" t="e">
        <v>#N/A</v>
      </c>
      <c r="Q204" s="16" t="e">
        <v>#N/A</v>
      </c>
      <c r="R204" s="16" t="e">
        <v>#N/A</v>
      </c>
      <c r="S204" s="17" t="e">
        <v>#N/A</v>
      </c>
      <c r="T204" s="17" t="e">
        <v>#N/A</v>
      </c>
      <c r="U204" s="18"/>
      <c r="V204" s="18"/>
      <c r="W204" s="18" t="e">
        <v>#N/A</v>
      </c>
      <c r="X204" s="19"/>
      <c r="Y204" s="19"/>
      <c r="Z204" s="19"/>
      <c r="AA204" s="19"/>
    </row>
    <row r="205" spans="1:27" ht="14.25" customHeight="1" x14ac:dyDescent="0.3">
      <c r="A205" s="11">
        <v>204</v>
      </c>
      <c r="B205" s="10">
        <v>5</v>
      </c>
      <c r="C205" s="11" t="s">
        <v>23</v>
      </c>
      <c r="D205" s="10">
        <v>95</v>
      </c>
      <c r="E205" s="10">
        <v>2</v>
      </c>
      <c r="F205" s="10">
        <v>95545</v>
      </c>
      <c r="G205" s="11" t="s">
        <v>60</v>
      </c>
      <c r="H205" s="10">
        <v>442</v>
      </c>
      <c r="I205" s="10">
        <v>74399</v>
      </c>
      <c r="J205" s="10">
        <v>24502844</v>
      </c>
      <c r="K205" s="10">
        <v>74412</v>
      </c>
      <c r="L205" s="12">
        <v>1848170</v>
      </c>
      <c r="M205" s="13">
        <f>+_xlfn.XLOOKUP(D205&amp;"-"&amp;E205,'[1]Listado Lotes'!$K$3:$K$385,'[1]Listado Lotes'!$E$3:$E$385)</f>
        <v>233.98</v>
      </c>
      <c r="N205" s="28" t="s">
        <v>233</v>
      </c>
      <c r="O205" s="14" t="e">
        <v>#N/A</v>
      </c>
      <c r="P205" s="15" t="e">
        <v>#N/A</v>
      </c>
      <c r="Q205" s="16" t="e">
        <v>#N/A</v>
      </c>
      <c r="R205" s="16" t="e">
        <v>#N/A</v>
      </c>
      <c r="S205" s="17" t="e">
        <v>#N/A</v>
      </c>
      <c r="T205" s="17" t="e">
        <v>#N/A</v>
      </c>
      <c r="U205" s="18"/>
      <c r="V205" s="18"/>
      <c r="W205" s="18" t="e">
        <v>#N/A</v>
      </c>
      <c r="X205" s="19"/>
      <c r="Y205" s="19"/>
      <c r="Z205" s="19"/>
      <c r="AA205" s="19"/>
    </row>
    <row r="206" spans="1:27" ht="14.25" customHeight="1" x14ac:dyDescent="0.3">
      <c r="A206" s="11">
        <v>205</v>
      </c>
      <c r="B206" s="10">
        <v>5</v>
      </c>
      <c r="C206" s="11" t="s">
        <v>23</v>
      </c>
      <c r="D206" s="10">
        <v>95</v>
      </c>
      <c r="E206" s="10">
        <v>3</v>
      </c>
      <c r="F206" s="10">
        <v>95546</v>
      </c>
      <c r="G206" s="11" t="s">
        <v>61</v>
      </c>
      <c r="H206" s="10">
        <v>442</v>
      </c>
      <c r="I206" s="10">
        <v>74400</v>
      </c>
      <c r="J206" s="10">
        <v>24502847</v>
      </c>
      <c r="K206" s="10">
        <v>74412</v>
      </c>
      <c r="L206" s="12">
        <v>1848170</v>
      </c>
      <c r="M206" s="13">
        <f>+_xlfn.XLOOKUP(D206&amp;"-"&amp;E206,'[1]Listado Lotes'!$K$3:$K$385,'[1]Listado Lotes'!$E$3:$E$385)</f>
        <v>233.98</v>
      </c>
      <c r="N206" s="28" t="s">
        <v>233</v>
      </c>
      <c r="O206" s="14" t="e">
        <v>#N/A</v>
      </c>
      <c r="P206" s="15" t="e">
        <v>#N/A</v>
      </c>
      <c r="Q206" s="16" t="e">
        <v>#N/A</v>
      </c>
      <c r="R206" s="16" t="e">
        <v>#N/A</v>
      </c>
      <c r="S206" s="17" t="e">
        <v>#N/A</v>
      </c>
      <c r="T206" s="17" t="e">
        <v>#N/A</v>
      </c>
      <c r="U206" s="18"/>
      <c r="V206" s="18"/>
      <c r="W206" s="18" t="e">
        <v>#N/A</v>
      </c>
      <c r="X206" s="19"/>
      <c r="Y206" s="19"/>
      <c r="Z206" s="19"/>
      <c r="AA206" s="19"/>
    </row>
    <row r="207" spans="1:27" ht="14.25" customHeight="1" x14ac:dyDescent="0.3">
      <c r="A207" s="11">
        <v>206</v>
      </c>
      <c r="B207" s="10">
        <v>5</v>
      </c>
      <c r="C207" s="11" t="s">
        <v>23</v>
      </c>
      <c r="D207" s="10">
        <v>95</v>
      </c>
      <c r="E207" s="10">
        <v>4</v>
      </c>
      <c r="F207" s="10">
        <v>95547</v>
      </c>
      <c r="G207" s="11" t="s">
        <v>62</v>
      </c>
      <c r="H207" s="10">
        <v>442</v>
      </c>
      <c r="I207" s="10">
        <v>74411</v>
      </c>
      <c r="J207" s="10">
        <v>24502853</v>
      </c>
      <c r="K207" s="10">
        <v>73008</v>
      </c>
      <c r="L207" s="12">
        <v>1813299</v>
      </c>
      <c r="M207" s="13">
        <f>+_xlfn.XLOOKUP(D207&amp;"-"&amp;E207,'[1]Listado Lotes'!$K$3:$K$385,'[1]Listado Lotes'!$E$3:$E$385)</f>
        <v>233.98</v>
      </c>
      <c r="N207" s="28" t="s">
        <v>233</v>
      </c>
      <c r="O207" s="14" t="e">
        <v>#N/A</v>
      </c>
      <c r="P207" s="15" t="e">
        <v>#N/A</v>
      </c>
      <c r="Q207" s="16" t="e">
        <v>#N/A</v>
      </c>
      <c r="R207" s="16" t="e">
        <v>#N/A</v>
      </c>
      <c r="S207" s="17" t="e">
        <v>#N/A</v>
      </c>
      <c r="T207" s="17" t="e">
        <v>#N/A</v>
      </c>
      <c r="U207" s="18"/>
      <c r="V207" s="18"/>
      <c r="W207" s="18" t="e">
        <v>#N/A</v>
      </c>
      <c r="X207" s="19"/>
      <c r="Y207" s="19"/>
      <c r="Z207" s="19"/>
      <c r="AA207" s="19"/>
    </row>
    <row r="208" spans="1:27" ht="14.25" customHeight="1" x14ac:dyDescent="0.3">
      <c r="A208" s="11">
        <v>207</v>
      </c>
      <c r="B208" s="10">
        <v>5</v>
      </c>
      <c r="C208" s="11" t="s">
        <v>23</v>
      </c>
      <c r="D208" s="10">
        <v>95</v>
      </c>
      <c r="E208" s="10">
        <v>5</v>
      </c>
      <c r="F208" s="10">
        <v>95548</v>
      </c>
      <c r="G208" s="11" t="s">
        <v>63</v>
      </c>
      <c r="H208" s="10">
        <v>442</v>
      </c>
      <c r="I208" s="10">
        <v>74412</v>
      </c>
      <c r="J208" s="10">
        <v>24502855</v>
      </c>
      <c r="K208" s="10">
        <v>77220</v>
      </c>
      <c r="L208" s="12">
        <v>1917913</v>
      </c>
      <c r="M208" s="13">
        <f>+_xlfn.XLOOKUP(D208&amp;"-"&amp;E208,'[1]Listado Lotes'!$K$3:$K$385,'[1]Listado Lotes'!$E$3:$E$385)</f>
        <v>233.98</v>
      </c>
      <c r="N208" s="28" t="s">
        <v>233</v>
      </c>
      <c r="O208" s="14" t="e">
        <v>#N/A</v>
      </c>
      <c r="P208" s="15" t="e">
        <v>#N/A</v>
      </c>
      <c r="Q208" s="16" t="e">
        <v>#N/A</v>
      </c>
      <c r="R208" s="16" t="e">
        <v>#N/A</v>
      </c>
      <c r="S208" s="17" t="e">
        <v>#N/A</v>
      </c>
      <c r="T208" s="17" t="e">
        <v>#N/A</v>
      </c>
      <c r="U208" s="18"/>
      <c r="V208" s="18"/>
      <c r="W208" s="18" t="e">
        <v>#N/A</v>
      </c>
      <c r="X208" s="19"/>
      <c r="Y208" s="19"/>
      <c r="Z208" s="19"/>
      <c r="AA208" s="19"/>
    </row>
    <row r="209" spans="1:27" ht="14.25" customHeight="1" x14ac:dyDescent="0.3">
      <c r="A209" s="11">
        <v>208</v>
      </c>
      <c r="B209" s="10">
        <v>5</v>
      </c>
      <c r="C209" s="11" t="s">
        <v>23</v>
      </c>
      <c r="D209" s="10">
        <v>95</v>
      </c>
      <c r="E209" s="10">
        <v>6</v>
      </c>
      <c r="F209" s="10">
        <v>95549</v>
      </c>
      <c r="G209" s="11" t="s">
        <v>64</v>
      </c>
      <c r="H209" s="10">
        <v>442</v>
      </c>
      <c r="I209" s="10">
        <v>74413</v>
      </c>
      <c r="J209" s="10">
        <v>24506797</v>
      </c>
      <c r="K209" s="10">
        <v>93840</v>
      </c>
      <c r="L209" s="12">
        <v>2330704</v>
      </c>
      <c r="M209" s="13">
        <f>+_xlfn.XLOOKUP(D209&amp;"-"&amp;E209,'[1]Listado Lotes'!$K$3:$K$385,'[1]Listado Lotes'!$E$3:$E$385)</f>
        <v>229.5</v>
      </c>
      <c r="N209" s="28" t="s">
        <v>233</v>
      </c>
      <c r="O209" s="14" t="e">
        <v>#N/A</v>
      </c>
      <c r="P209" s="15" t="e">
        <v>#N/A</v>
      </c>
      <c r="Q209" s="16" t="e">
        <v>#N/A</v>
      </c>
      <c r="R209" s="16" t="e">
        <v>#N/A</v>
      </c>
      <c r="S209" s="17" t="e">
        <v>#N/A</v>
      </c>
      <c r="T209" s="17" t="e">
        <v>#N/A</v>
      </c>
      <c r="U209" s="18"/>
      <c r="V209" s="18"/>
      <c r="W209" s="18" t="e">
        <v>#N/A</v>
      </c>
      <c r="X209" s="19"/>
      <c r="Y209" s="19"/>
      <c r="Z209" s="19"/>
      <c r="AA209" s="19"/>
    </row>
    <row r="210" spans="1:27" ht="14.25" customHeight="1" x14ac:dyDescent="0.3">
      <c r="A210" s="11">
        <v>209</v>
      </c>
      <c r="B210" s="10">
        <v>5</v>
      </c>
      <c r="C210" s="11" t="s">
        <v>23</v>
      </c>
      <c r="D210" s="10">
        <v>95</v>
      </c>
      <c r="E210" s="10">
        <v>7</v>
      </c>
      <c r="F210" s="10">
        <v>95550</v>
      </c>
      <c r="G210" s="11" t="s">
        <v>65</v>
      </c>
      <c r="H210" s="10">
        <v>442</v>
      </c>
      <c r="I210" s="10">
        <v>74414</v>
      </c>
      <c r="J210" s="10">
        <v>24502857</v>
      </c>
      <c r="K210" s="10">
        <v>89700</v>
      </c>
      <c r="L210" s="12">
        <v>2227878</v>
      </c>
      <c r="M210" s="13">
        <f>+_xlfn.XLOOKUP(D210&amp;"-"&amp;E210,'[1]Listado Lotes'!$K$3:$K$385,'[1]Listado Lotes'!$E$3:$E$385)</f>
        <v>298.69</v>
      </c>
      <c r="N210" s="28" t="s">
        <v>233</v>
      </c>
      <c r="O210" s="14" t="e">
        <v>#N/A</v>
      </c>
      <c r="P210" s="15" t="e">
        <v>#N/A</v>
      </c>
      <c r="Q210" s="16" t="e">
        <v>#N/A</v>
      </c>
      <c r="R210" s="16" t="e">
        <v>#N/A</v>
      </c>
      <c r="S210" s="17" t="e">
        <v>#N/A</v>
      </c>
      <c r="T210" s="17" t="e">
        <v>#N/A</v>
      </c>
      <c r="U210" s="18"/>
      <c r="V210" s="18"/>
      <c r="W210" s="18" t="e">
        <v>#N/A</v>
      </c>
      <c r="X210" s="19"/>
      <c r="Y210" s="19"/>
      <c r="Z210" s="19"/>
      <c r="AA210" s="19"/>
    </row>
    <row r="211" spans="1:27" ht="14.25" customHeight="1" x14ac:dyDescent="0.3">
      <c r="A211" s="11">
        <v>210</v>
      </c>
      <c r="B211" s="10">
        <v>5</v>
      </c>
      <c r="C211" s="11" t="s">
        <v>23</v>
      </c>
      <c r="D211" s="10">
        <v>95</v>
      </c>
      <c r="E211" s="10">
        <v>8</v>
      </c>
      <c r="F211" s="10">
        <v>95551</v>
      </c>
      <c r="G211" s="11" t="s">
        <v>66</v>
      </c>
      <c r="H211" s="10">
        <v>442</v>
      </c>
      <c r="I211" s="10">
        <v>74415</v>
      </c>
      <c r="J211" s="10">
        <v>24502859</v>
      </c>
      <c r="K211" s="10">
        <v>87906</v>
      </c>
      <c r="L211" s="12">
        <v>2183321</v>
      </c>
      <c r="M211" s="13">
        <f>+_xlfn.XLOOKUP(D211&amp;"-"&amp;E211,'[1]Listado Lotes'!$K$3:$K$385,'[1]Listado Lotes'!$E$3:$E$385)</f>
        <v>298.69</v>
      </c>
      <c r="N211" s="28" t="s">
        <v>233</v>
      </c>
      <c r="O211" s="14" t="e">
        <v>#N/A</v>
      </c>
      <c r="P211" s="15" t="e">
        <v>#N/A</v>
      </c>
      <c r="Q211" s="16" t="e">
        <v>#N/A</v>
      </c>
      <c r="R211" s="16" t="e">
        <v>#N/A</v>
      </c>
      <c r="S211" s="17" t="e">
        <v>#N/A</v>
      </c>
      <c r="T211" s="17" t="e">
        <v>#N/A</v>
      </c>
      <c r="U211" s="18"/>
      <c r="V211" s="18"/>
      <c r="W211" s="18" t="e">
        <v>#N/A</v>
      </c>
      <c r="X211" s="19"/>
      <c r="Y211" s="19"/>
      <c r="Z211" s="19"/>
      <c r="AA211" s="19"/>
    </row>
    <row r="212" spans="1:27" ht="14.25" customHeight="1" x14ac:dyDescent="0.3">
      <c r="A212" s="11">
        <v>211</v>
      </c>
      <c r="B212" s="10">
        <v>5</v>
      </c>
      <c r="C212" s="11" t="s">
        <v>23</v>
      </c>
      <c r="D212" s="10">
        <v>95</v>
      </c>
      <c r="E212" s="10">
        <v>9</v>
      </c>
      <c r="F212" s="10">
        <v>95552</v>
      </c>
      <c r="G212" s="11" t="s">
        <v>67</v>
      </c>
      <c r="H212" s="10">
        <v>442</v>
      </c>
      <c r="I212" s="10">
        <v>74416</v>
      </c>
      <c r="J212" s="10">
        <v>24502860</v>
      </c>
      <c r="K212" s="10">
        <v>87906</v>
      </c>
      <c r="L212" s="12">
        <v>2183321</v>
      </c>
      <c r="M212" s="13">
        <f>+_xlfn.XLOOKUP(D212&amp;"-"&amp;E212,'[1]Listado Lotes'!$K$3:$K$385,'[1]Listado Lotes'!$E$3:$E$385)</f>
        <v>298.69</v>
      </c>
      <c r="N212" s="28" t="s">
        <v>233</v>
      </c>
      <c r="O212" s="14" t="e">
        <v>#N/A</v>
      </c>
      <c r="P212" s="15" t="e">
        <v>#N/A</v>
      </c>
      <c r="Q212" s="16" t="e">
        <v>#N/A</v>
      </c>
      <c r="R212" s="16" t="e">
        <v>#N/A</v>
      </c>
      <c r="S212" s="17" t="e">
        <v>#N/A</v>
      </c>
      <c r="T212" s="17" t="e">
        <v>#N/A</v>
      </c>
      <c r="U212" s="18"/>
      <c r="V212" s="18"/>
      <c r="W212" s="18" t="e">
        <v>#N/A</v>
      </c>
      <c r="X212" s="19"/>
      <c r="Y212" s="19"/>
      <c r="Z212" s="19"/>
      <c r="AA212" s="19"/>
    </row>
    <row r="213" spans="1:27" ht="14.25" customHeight="1" x14ac:dyDescent="0.3">
      <c r="A213" s="11">
        <v>212</v>
      </c>
      <c r="B213" s="10">
        <v>5</v>
      </c>
      <c r="C213" s="11" t="s">
        <v>23</v>
      </c>
      <c r="D213" s="10">
        <v>95</v>
      </c>
      <c r="E213" s="10">
        <v>10</v>
      </c>
      <c r="F213" s="10">
        <v>95553</v>
      </c>
      <c r="G213" s="11" t="s">
        <v>68</v>
      </c>
      <c r="H213" s="10">
        <v>442</v>
      </c>
      <c r="I213" s="10">
        <v>74417</v>
      </c>
      <c r="J213" s="10">
        <v>24502863</v>
      </c>
      <c r="K213" s="10">
        <v>87906</v>
      </c>
      <c r="L213" s="12">
        <v>2183321</v>
      </c>
      <c r="M213" s="13">
        <f>+_xlfn.XLOOKUP(D213&amp;"-"&amp;E213,'[1]Listado Lotes'!$K$3:$K$385,'[1]Listado Lotes'!$E$3:$E$385)</f>
        <v>298.69</v>
      </c>
      <c r="N213" s="28" t="s">
        <v>233</v>
      </c>
      <c r="O213" s="14" t="e">
        <v>#N/A</v>
      </c>
      <c r="P213" s="15" t="e">
        <v>#N/A</v>
      </c>
      <c r="Q213" s="16" t="e">
        <v>#N/A</v>
      </c>
      <c r="R213" s="16" t="e">
        <v>#N/A</v>
      </c>
      <c r="S213" s="17" t="e">
        <v>#N/A</v>
      </c>
      <c r="T213" s="17" t="e">
        <v>#N/A</v>
      </c>
      <c r="U213" s="18"/>
      <c r="V213" s="18"/>
      <c r="W213" s="18" t="e">
        <v>#N/A</v>
      </c>
      <c r="X213" s="19"/>
      <c r="Y213" s="19"/>
      <c r="Z213" s="19"/>
      <c r="AA213" s="19"/>
    </row>
    <row r="214" spans="1:27" ht="14.25" customHeight="1" x14ac:dyDescent="0.3">
      <c r="A214" s="11">
        <v>213</v>
      </c>
      <c r="B214" s="10">
        <v>5</v>
      </c>
      <c r="C214" s="11" t="s">
        <v>23</v>
      </c>
      <c r="D214" s="10">
        <v>95</v>
      </c>
      <c r="E214" s="10">
        <v>11</v>
      </c>
      <c r="F214" s="10">
        <v>95554</v>
      </c>
      <c r="G214" s="11" t="s">
        <v>69</v>
      </c>
      <c r="H214" s="10">
        <v>442</v>
      </c>
      <c r="I214" s="10">
        <v>74418</v>
      </c>
      <c r="J214" s="10">
        <v>24502866</v>
      </c>
      <c r="K214" s="10">
        <v>87906</v>
      </c>
      <c r="L214" s="12">
        <v>2183321</v>
      </c>
      <c r="M214" s="13">
        <f>+_xlfn.XLOOKUP(D214&amp;"-"&amp;E214,'[1]Listado Lotes'!$K$3:$K$385,'[1]Listado Lotes'!$E$3:$E$385)</f>
        <v>298.69</v>
      </c>
      <c r="N214" s="28" t="s">
        <v>233</v>
      </c>
      <c r="O214" s="14" t="e">
        <v>#N/A</v>
      </c>
      <c r="P214" s="15" t="e">
        <v>#N/A</v>
      </c>
      <c r="Q214" s="16" t="e">
        <v>#N/A</v>
      </c>
      <c r="R214" s="16" t="e">
        <v>#N/A</v>
      </c>
      <c r="S214" s="17" t="e">
        <v>#N/A</v>
      </c>
      <c r="T214" s="17" t="e">
        <v>#N/A</v>
      </c>
      <c r="U214" s="18"/>
      <c r="V214" s="18"/>
      <c r="W214" s="18" t="e">
        <v>#N/A</v>
      </c>
      <c r="X214" s="19"/>
      <c r="Y214" s="19"/>
      <c r="Z214" s="19"/>
      <c r="AA214" s="19"/>
    </row>
    <row r="215" spans="1:27" ht="14.25" customHeight="1" x14ac:dyDescent="0.3">
      <c r="A215" s="11">
        <v>214</v>
      </c>
      <c r="B215" s="10">
        <v>5</v>
      </c>
      <c r="C215" s="11" t="s">
        <v>23</v>
      </c>
      <c r="D215" s="10">
        <v>95</v>
      </c>
      <c r="E215" s="10">
        <v>12</v>
      </c>
      <c r="F215" s="10">
        <v>95555</v>
      </c>
      <c r="G215" s="11" t="s">
        <v>70</v>
      </c>
      <c r="H215" s="10">
        <v>442</v>
      </c>
      <c r="I215" s="10">
        <v>74419</v>
      </c>
      <c r="J215" s="10">
        <v>24502870</v>
      </c>
      <c r="K215" s="10">
        <v>89700</v>
      </c>
      <c r="L215" s="12">
        <v>2227878</v>
      </c>
      <c r="M215" s="13">
        <f>+_xlfn.XLOOKUP(D215&amp;"-"&amp;E215,'[1]Listado Lotes'!$K$3:$K$385,'[1]Listado Lotes'!$E$3:$E$385)</f>
        <v>298.69</v>
      </c>
      <c r="N215" s="28" t="s">
        <v>233</v>
      </c>
      <c r="O215" s="14" t="e">
        <v>#N/A</v>
      </c>
      <c r="P215" s="15" t="e">
        <v>#N/A</v>
      </c>
      <c r="Q215" s="16" t="e">
        <v>#N/A</v>
      </c>
      <c r="R215" s="16" t="e">
        <v>#N/A</v>
      </c>
      <c r="S215" s="17" t="e">
        <v>#N/A</v>
      </c>
      <c r="T215" s="17" t="e">
        <v>#N/A</v>
      </c>
      <c r="U215" s="18"/>
      <c r="V215" s="18"/>
      <c r="W215" s="18" t="e">
        <v>#N/A</v>
      </c>
      <c r="X215" s="19"/>
      <c r="Y215" s="19"/>
      <c r="Z215" s="19"/>
      <c r="AA215" s="19"/>
    </row>
    <row r="216" spans="1:27" ht="14.25" customHeight="1" x14ac:dyDescent="0.3">
      <c r="A216" s="11">
        <v>215</v>
      </c>
      <c r="B216" s="10">
        <v>5</v>
      </c>
      <c r="C216" s="11" t="s">
        <v>23</v>
      </c>
      <c r="D216" s="10">
        <v>95</v>
      </c>
      <c r="E216" s="10">
        <v>13</v>
      </c>
      <c r="F216" s="10">
        <v>95556</v>
      </c>
      <c r="G216" s="11" t="s">
        <v>71</v>
      </c>
      <c r="H216" s="10">
        <v>442</v>
      </c>
      <c r="I216" s="10">
        <v>74420</v>
      </c>
      <c r="J216" s="10">
        <v>24502874</v>
      </c>
      <c r="K216" s="10">
        <v>87906</v>
      </c>
      <c r="L216" s="12">
        <v>2183321</v>
      </c>
      <c r="M216" s="13">
        <f>+_xlfn.XLOOKUP(D216&amp;"-"&amp;E216,'[1]Listado Lotes'!$K$3:$K$385,'[1]Listado Lotes'!$E$3:$E$385)</f>
        <v>298.69</v>
      </c>
      <c r="N216" s="28" t="s">
        <v>233</v>
      </c>
      <c r="O216" s="14" t="e">
        <v>#N/A</v>
      </c>
      <c r="P216" s="15" t="e">
        <v>#N/A</v>
      </c>
      <c r="Q216" s="16" t="e">
        <v>#N/A</v>
      </c>
      <c r="R216" s="16" t="e">
        <v>#N/A</v>
      </c>
      <c r="S216" s="17" t="e">
        <v>#N/A</v>
      </c>
      <c r="T216" s="17" t="e">
        <v>#N/A</v>
      </c>
      <c r="U216" s="18"/>
      <c r="V216" s="18"/>
      <c r="W216" s="18" t="e">
        <v>#N/A</v>
      </c>
      <c r="X216" s="19"/>
      <c r="Y216" s="19"/>
      <c r="Z216" s="19"/>
      <c r="AA216" s="19"/>
    </row>
    <row r="217" spans="1:27" ht="14.25" customHeight="1" x14ac:dyDescent="0.3">
      <c r="A217" s="11">
        <v>216</v>
      </c>
      <c r="B217" s="10">
        <v>5</v>
      </c>
      <c r="C217" s="11" t="s">
        <v>23</v>
      </c>
      <c r="D217" s="10">
        <v>95</v>
      </c>
      <c r="E217" s="10">
        <v>14</v>
      </c>
      <c r="F217" s="10">
        <v>95557</v>
      </c>
      <c r="G217" s="11" t="s">
        <v>72</v>
      </c>
      <c r="H217" s="10">
        <v>442</v>
      </c>
      <c r="I217" s="10">
        <v>74421</v>
      </c>
      <c r="J217" s="10">
        <v>24502876</v>
      </c>
      <c r="K217" s="10">
        <v>87906</v>
      </c>
      <c r="L217" s="12">
        <v>2183321</v>
      </c>
      <c r="M217" s="13">
        <f>+_xlfn.XLOOKUP(D217&amp;"-"&amp;E217,'[1]Listado Lotes'!$K$3:$K$385,'[1]Listado Lotes'!$E$3:$E$385)</f>
        <v>298.69</v>
      </c>
      <c r="N217" s="28" t="s">
        <v>233</v>
      </c>
      <c r="O217" s="14" t="e">
        <v>#N/A</v>
      </c>
      <c r="P217" s="15" t="e">
        <v>#N/A</v>
      </c>
      <c r="Q217" s="16" t="e">
        <v>#N/A</v>
      </c>
      <c r="R217" s="16" t="e">
        <v>#N/A</v>
      </c>
      <c r="S217" s="17" t="e">
        <v>#N/A</v>
      </c>
      <c r="T217" s="17" t="e">
        <v>#N/A</v>
      </c>
      <c r="U217" s="18"/>
      <c r="V217" s="18"/>
      <c r="W217" s="18" t="e">
        <v>#N/A</v>
      </c>
      <c r="X217" s="19"/>
      <c r="Y217" s="19"/>
      <c r="Z217" s="19"/>
      <c r="AA217" s="19"/>
    </row>
    <row r="218" spans="1:27" ht="14.25" customHeight="1" x14ac:dyDescent="0.3">
      <c r="A218" s="11">
        <v>217</v>
      </c>
      <c r="B218" s="10">
        <v>5</v>
      </c>
      <c r="C218" s="11" t="s">
        <v>23</v>
      </c>
      <c r="D218" s="10">
        <v>95</v>
      </c>
      <c r="E218" s="10">
        <v>15</v>
      </c>
      <c r="F218" s="10">
        <v>95558</v>
      </c>
      <c r="G218" s="11" t="s">
        <v>73</v>
      </c>
      <c r="H218" s="10">
        <v>442</v>
      </c>
      <c r="I218" s="10">
        <v>74422</v>
      </c>
      <c r="J218" s="10">
        <v>24502908</v>
      </c>
      <c r="K218" s="10">
        <v>93432</v>
      </c>
      <c r="L218" s="12">
        <v>2320570</v>
      </c>
      <c r="M218" s="13">
        <f>+_xlfn.XLOOKUP(D218&amp;"-"&amp;E218,'[1]Listado Lotes'!$K$3:$K$385,'[1]Listado Lotes'!$E$3:$E$385)</f>
        <v>229.5</v>
      </c>
      <c r="N218" s="28" t="s">
        <v>233</v>
      </c>
      <c r="O218" s="14" t="e">
        <v>#N/A</v>
      </c>
      <c r="P218" s="15" t="e">
        <v>#N/A</v>
      </c>
      <c r="Q218" s="16" t="e">
        <v>#N/A</v>
      </c>
      <c r="R218" s="16" t="e">
        <v>#N/A</v>
      </c>
      <c r="S218" s="17" t="e">
        <v>#N/A</v>
      </c>
      <c r="T218" s="17" t="e">
        <v>#N/A</v>
      </c>
      <c r="U218" s="18"/>
      <c r="V218" s="18"/>
      <c r="W218" s="18" t="e">
        <v>#N/A</v>
      </c>
      <c r="X218" s="19"/>
      <c r="Y218" s="19"/>
      <c r="Z218" s="19"/>
      <c r="AA218" s="19"/>
    </row>
    <row r="219" spans="1:27" ht="14.25" customHeight="1" x14ac:dyDescent="0.3">
      <c r="A219" s="11">
        <v>218</v>
      </c>
      <c r="B219" s="10">
        <v>5</v>
      </c>
      <c r="C219" s="11" t="s">
        <v>23</v>
      </c>
      <c r="D219" s="10">
        <v>95</v>
      </c>
      <c r="E219" s="10">
        <v>16</v>
      </c>
      <c r="F219" s="10">
        <v>95559</v>
      </c>
      <c r="G219" s="11" t="s">
        <v>74</v>
      </c>
      <c r="H219" s="10">
        <v>442</v>
      </c>
      <c r="I219" s="10">
        <v>74423</v>
      </c>
      <c r="J219" s="10">
        <v>24502912</v>
      </c>
      <c r="K219" s="10">
        <v>74412</v>
      </c>
      <c r="L219" s="12">
        <v>1848170</v>
      </c>
      <c r="M219" s="13">
        <f>+_xlfn.XLOOKUP(D219&amp;"-"&amp;E219,'[1]Listado Lotes'!$K$3:$K$385,'[1]Listado Lotes'!$E$3:$E$385)</f>
        <v>233.98</v>
      </c>
      <c r="N219" s="28" t="s">
        <v>233</v>
      </c>
      <c r="O219" s="14" t="e">
        <v>#N/A</v>
      </c>
      <c r="P219" s="15" t="e">
        <v>#N/A</v>
      </c>
      <c r="Q219" s="16" t="e">
        <v>#N/A</v>
      </c>
      <c r="R219" s="16" t="e">
        <v>#N/A</v>
      </c>
      <c r="S219" s="17" t="e">
        <v>#N/A</v>
      </c>
      <c r="T219" s="17" t="e">
        <v>#N/A</v>
      </c>
      <c r="U219" s="18"/>
      <c r="V219" s="18"/>
      <c r="W219" s="18" t="e">
        <v>#N/A</v>
      </c>
      <c r="X219" s="19"/>
      <c r="Y219" s="19"/>
      <c r="Z219" s="19"/>
      <c r="AA219" s="19"/>
    </row>
    <row r="220" spans="1:27" ht="14.25" customHeight="1" x14ac:dyDescent="0.3">
      <c r="A220" s="11">
        <v>219</v>
      </c>
      <c r="B220" s="10">
        <v>5</v>
      </c>
      <c r="C220" s="11" t="s">
        <v>23</v>
      </c>
      <c r="D220" s="10">
        <v>95</v>
      </c>
      <c r="E220" s="10">
        <v>17</v>
      </c>
      <c r="F220" s="10">
        <v>95560</v>
      </c>
      <c r="G220" s="11" t="s">
        <v>75</v>
      </c>
      <c r="H220" s="10">
        <v>442</v>
      </c>
      <c r="I220" s="10">
        <v>74424</v>
      </c>
      <c r="J220" s="10">
        <v>24502916</v>
      </c>
      <c r="K220" s="10">
        <v>77922</v>
      </c>
      <c r="L220" s="12">
        <v>1935348</v>
      </c>
      <c r="M220" s="13">
        <f>+_xlfn.XLOOKUP(D220&amp;"-"&amp;E220,'[1]Listado Lotes'!$K$3:$K$385,'[1]Listado Lotes'!$E$3:$E$385)</f>
        <v>233.98</v>
      </c>
      <c r="N220" s="28" t="s">
        <v>233</v>
      </c>
      <c r="O220" s="14" t="e">
        <v>#N/A</v>
      </c>
      <c r="P220" s="15" t="e">
        <v>#N/A</v>
      </c>
      <c r="Q220" s="16" t="e">
        <v>#N/A</v>
      </c>
      <c r="R220" s="16" t="e">
        <v>#N/A</v>
      </c>
      <c r="S220" s="17" t="e">
        <v>#N/A</v>
      </c>
      <c r="T220" s="17" t="e">
        <v>#N/A</v>
      </c>
      <c r="U220" s="18"/>
      <c r="V220" s="18"/>
      <c r="W220" s="18" t="e">
        <v>#N/A</v>
      </c>
      <c r="X220" s="19"/>
      <c r="Y220" s="19"/>
      <c r="Z220" s="19"/>
      <c r="AA220" s="19"/>
    </row>
    <row r="221" spans="1:27" ht="14.25" customHeight="1" x14ac:dyDescent="0.3">
      <c r="A221" s="11">
        <v>220</v>
      </c>
      <c r="B221" s="10">
        <v>5</v>
      </c>
      <c r="C221" s="11" t="s">
        <v>23</v>
      </c>
      <c r="D221" s="10">
        <v>95</v>
      </c>
      <c r="E221" s="10">
        <v>18</v>
      </c>
      <c r="F221" s="10">
        <v>95561</v>
      </c>
      <c r="G221" s="11" t="s">
        <v>76</v>
      </c>
      <c r="H221" s="10">
        <v>442</v>
      </c>
      <c r="I221" s="10">
        <v>74425</v>
      </c>
      <c r="J221" s="10">
        <v>24502919</v>
      </c>
      <c r="K221" s="10">
        <v>73008</v>
      </c>
      <c r="L221" s="12">
        <v>1813299</v>
      </c>
      <c r="M221" s="13">
        <f>+_xlfn.XLOOKUP(D221&amp;"-"&amp;E221,'[1]Listado Lotes'!$K$3:$K$385,'[1]Listado Lotes'!$E$3:$E$385)</f>
        <v>233.98</v>
      </c>
      <c r="N221" s="28" t="s">
        <v>233</v>
      </c>
      <c r="O221" s="14" t="e">
        <v>#N/A</v>
      </c>
      <c r="P221" s="15" t="e">
        <v>#N/A</v>
      </c>
      <c r="Q221" s="16" t="e">
        <v>#N/A</v>
      </c>
      <c r="R221" s="16" t="e">
        <v>#N/A</v>
      </c>
      <c r="S221" s="17" t="e">
        <v>#N/A</v>
      </c>
      <c r="T221" s="17" t="e">
        <v>#N/A</v>
      </c>
      <c r="U221" s="18"/>
      <c r="V221" s="18"/>
      <c r="W221" s="18" t="e">
        <v>#N/A</v>
      </c>
      <c r="X221" s="19"/>
      <c r="Y221" s="19"/>
      <c r="Z221" s="19"/>
      <c r="AA221" s="19"/>
    </row>
    <row r="222" spans="1:27" ht="14.25" customHeight="1" x14ac:dyDescent="0.3">
      <c r="A222" s="11">
        <v>221</v>
      </c>
      <c r="B222" s="10">
        <v>5</v>
      </c>
      <c r="C222" s="11" t="s">
        <v>23</v>
      </c>
      <c r="D222" s="10">
        <v>95</v>
      </c>
      <c r="E222" s="10">
        <v>19</v>
      </c>
      <c r="F222" s="10">
        <v>95562</v>
      </c>
      <c r="G222" s="11" t="s">
        <v>77</v>
      </c>
      <c r="H222" s="10">
        <v>442</v>
      </c>
      <c r="I222" s="10">
        <v>74426</v>
      </c>
      <c r="J222" s="10">
        <v>24502921</v>
      </c>
      <c r="K222" s="10">
        <v>74412</v>
      </c>
      <c r="L222" s="12">
        <v>1848170</v>
      </c>
      <c r="M222" s="13">
        <f>+_xlfn.XLOOKUP(D222&amp;"-"&amp;E222,'[1]Listado Lotes'!$K$3:$K$385,'[1]Listado Lotes'!$E$3:$E$385)</f>
        <v>233.98</v>
      </c>
      <c r="N222" s="28" t="s">
        <v>233</v>
      </c>
      <c r="O222" s="14" t="e">
        <v>#N/A</v>
      </c>
      <c r="P222" s="15" t="e">
        <v>#N/A</v>
      </c>
      <c r="Q222" s="16" t="e">
        <v>#N/A</v>
      </c>
      <c r="R222" s="16" t="e">
        <v>#N/A</v>
      </c>
      <c r="S222" s="17" t="e">
        <v>#N/A</v>
      </c>
      <c r="T222" s="17" t="e">
        <v>#N/A</v>
      </c>
      <c r="U222" s="18"/>
      <c r="V222" s="18"/>
      <c r="W222" s="18" t="e">
        <v>#N/A</v>
      </c>
      <c r="X222" s="19"/>
      <c r="Y222" s="19"/>
      <c r="Z222" s="19"/>
      <c r="AA222" s="19"/>
    </row>
    <row r="223" spans="1:27" ht="14.25" customHeight="1" x14ac:dyDescent="0.3">
      <c r="A223" s="11">
        <v>222</v>
      </c>
      <c r="B223" s="10">
        <v>5</v>
      </c>
      <c r="C223" s="11" t="s">
        <v>23</v>
      </c>
      <c r="D223" s="10">
        <v>95</v>
      </c>
      <c r="E223" s="10">
        <v>20</v>
      </c>
      <c r="F223" s="10">
        <v>95563</v>
      </c>
      <c r="G223" s="11" t="s">
        <v>78</v>
      </c>
      <c r="H223" s="10">
        <v>442</v>
      </c>
      <c r="I223" s="10">
        <v>74427</v>
      </c>
      <c r="J223" s="10">
        <v>24502923</v>
      </c>
      <c r="K223" s="10">
        <v>1156624</v>
      </c>
      <c r="L223" s="12">
        <v>28727090</v>
      </c>
      <c r="M223" s="13">
        <f>+_xlfn.XLOOKUP(D223&amp;"-"&amp;E223,'[1]Listado Lotes'!$K$3:$K$385,'[1]Listado Lotes'!$E$3:$E$385)</f>
        <v>229.5</v>
      </c>
      <c r="N223" s="28" t="s">
        <v>233</v>
      </c>
      <c r="O223" s="14" t="e">
        <v>#N/A</v>
      </c>
      <c r="P223" s="15" t="e">
        <v>#N/A</v>
      </c>
      <c r="Q223" s="16" t="e">
        <v>#N/A</v>
      </c>
      <c r="R223" s="16" t="e">
        <v>#N/A</v>
      </c>
      <c r="S223" s="17" t="e">
        <v>#N/A</v>
      </c>
      <c r="T223" s="17" t="e">
        <v>#N/A</v>
      </c>
      <c r="U223" s="18"/>
      <c r="V223" s="18"/>
      <c r="W223" s="18" t="e">
        <v>#N/A</v>
      </c>
      <c r="X223" s="19"/>
      <c r="Y223" s="19"/>
      <c r="Z223" s="19"/>
      <c r="AA223" s="19"/>
    </row>
    <row r="224" spans="1:27" ht="14.25" customHeight="1" x14ac:dyDescent="0.3">
      <c r="A224" s="11">
        <v>223</v>
      </c>
      <c r="B224" s="10">
        <v>5</v>
      </c>
      <c r="C224" s="11" t="s">
        <v>23</v>
      </c>
      <c r="D224" s="10">
        <v>95</v>
      </c>
      <c r="E224" s="10">
        <v>21</v>
      </c>
      <c r="F224" s="10">
        <v>95564</v>
      </c>
      <c r="G224" s="11" t="s">
        <v>79</v>
      </c>
      <c r="H224" s="10">
        <v>442</v>
      </c>
      <c r="I224" s="10">
        <v>74428</v>
      </c>
      <c r="J224" s="10">
        <v>24503652</v>
      </c>
      <c r="K224" s="10">
        <v>88802</v>
      </c>
      <c r="L224" s="12">
        <v>2205585</v>
      </c>
      <c r="M224" s="13">
        <f>+_xlfn.XLOOKUP(D224&amp;"-"&amp;E224,'[1]Listado Lotes'!$K$3:$K$385,'[1]Listado Lotes'!$E$3:$E$385)</f>
        <v>298.69</v>
      </c>
      <c r="N224" s="28" t="s">
        <v>233</v>
      </c>
      <c r="O224" s="14" t="e">
        <v>#N/A</v>
      </c>
      <c r="P224" s="15" t="e">
        <v>#N/A</v>
      </c>
      <c r="Q224" s="16" t="e">
        <v>#N/A</v>
      </c>
      <c r="R224" s="16" t="e">
        <v>#N/A</v>
      </c>
      <c r="S224" s="17" t="e">
        <v>#N/A</v>
      </c>
      <c r="T224" s="17" t="e">
        <v>#N/A</v>
      </c>
      <c r="U224" s="18"/>
      <c r="V224" s="18"/>
      <c r="W224" s="18" t="e">
        <v>#N/A</v>
      </c>
      <c r="X224" s="19"/>
      <c r="Y224" s="19"/>
      <c r="Z224" s="19"/>
      <c r="AA224" s="19"/>
    </row>
    <row r="225" spans="1:27" ht="14.25" customHeight="1" x14ac:dyDescent="0.3">
      <c r="A225" s="11">
        <v>224</v>
      </c>
      <c r="B225" s="10">
        <v>5</v>
      </c>
      <c r="C225" s="11" t="s">
        <v>23</v>
      </c>
      <c r="D225" s="10">
        <v>95</v>
      </c>
      <c r="E225" s="10">
        <v>22</v>
      </c>
      <c r="F225" s="10">
        <v>95565</v>
      </c>
      <c r="G225" s="11" t="s">
        <v>80</v>
      </c>
      <c r="H225" s="10">
        <v>442</v>
      </c>
      <c r="I225" s="10">
        <v>74429</v>
      </c>
      <c r="J225" s="10">
        <v>24503654</v>
      </c>
      <c r="K225" s="10">
        <v>87008</v>
      </c>
      <c r="L225" s="12">
        <v>2161027</v>
      </c>
      <c r="M225" s="13">
        <f>+_xlfn.XLOOKUP(D225&amp;"-"&amp;E225,'[1]Listado Lotes'!$K$3:$K$385,'[1]Listado Lotes'!$E$3:$E$385)</f>
        <v>298.69</v>
      </c>
      <c r="N225" s="28" t="s">
        <v>233</v>
      </c>
      <c r="O225" s="14" t="e">
        <v>#N/A</v>
      </c>
      <c r="P225" s="15" t="e">
        <v>#N/A</v>
      </c>
      <c r="Q225" s="16" t="e">
        <v>#N/A</v>
      </c>
      <c r="R225" s="16" t="e">
        <v>#N/A</v>
      </c>
      <c r="S225" s="17" t="e">
        <v>#N/A</v>
      </c>
      <c r="T225" s="17" t="e">
        <v>#N/A</v>
      </c>
      <c r="U225" s="18"/>
      <c r="V225" s="18"/>
      <c r="W225" s="18" t="e">
        <v>#N/A</v>
      </c>
      <c r="X225" s="19"/>
      <c r="Y225" s="19"/>
      <c r="Z225" s="19"/>
      <c r="AA225" s="19"/>
    </row>
    <row r="226" spans="1:27" ht="14.25" customHeight="1" x14ac:dyDescent="0.3">
      <c r="A226" s="11">
        <v>225</v>
      </c>
      <c r="B226" s="10">
        <v>5</v>
      </c>
      <c r="C226" s="11" t="s">
        <v>23</v>
      </c>
      <c r="D226" s="10">
        <v>95</v>
      </c>
      <c r="E226" s="10">
        <v>23</v>
      </c>
      <c r="F226" s="10">
        <v>95566</v>
      </c>
      <c r="G226" s="11" t="s">
        <v>81</v>
      </c>
      <c r="H226" s="10">
        <v>442</v>
      </c>
      <c r="I226" s="10">
        <v>74430</v>
      </c>
      <c r="J226" s="10">
        <v>24503656</v>
      </c>
      <c r="K226" s="10">
        <v>90596</v>
      </c>
      <c r="L226" s="12">
        <v>2250142</v>
      </c>
      <c r="M226" s="13">
        <f>+_xlfn.XLOOKUP(D226&amp;"-"&amp;E226,'[1]Listado Lotes'!$K$3:$K$385,'[1]Listado Lotes'!$E$3:$E$385)</f>
        <v>298.69</v>
      </c>
      <c r="N226" s="28" t="s">
        <v>233</v>
      </c>
      <c r="O226" s="14" t="e">
        <v>#N/A</v>
      </c>
      <c r="P226" s="15" t="e">
        <v>#N/A</v>
      </c>
      <c r="Q226" s="16" t="e">
        <v>#N/A</v>
      </c>
      <c r="R226" s="16" t="e">
        <v>#N/A</v>
      </c>
      <c r="S226" s="17" t="e">
        <v>#N/A</v>
      </c>
      <c r="T226" s="17" t="e">
        <v>#N/A</v>
      </c>
      <c r="U226" s="18"/>
      <c r="V226" s="18"/>
      <c r="W226" s="18" t="e">
        <v>#N/A</v>
      </c>
      <c r="X226" s="19"/>
      <c r="Y226" s="19"/>
      <c r="Z226" s="19"/>
      <c r="AA226" s="19"/>
    </row>
    <row r="227" spans="1:27" ht="14.25" customHeight="1" x14ac:dyDescent="0.3">
      <c r="A227" s="11">
        <v>226</v>
      </c>
      <c r="B227" s="10">
        <v>5</v>
      </c>
      <c r="C227" s="11" t="s">
        <v>23</v>
      </c>
      <c r="D227" s="10">
        <v>95</v>
      </c>
      <c r="E227" s="10">
        <v>24</v>
      </c>
      <c r="F227" s="10">
        <v>95567</v>
      </c>
      <c r="G227" s="11" t="s">
        <v>82</v>
      </c>
      <c r="H227" s="10">
        <v>442</v>
      </c>
      <c r="I227" s="10">
        <v>74431</v>
      </c>
      <c r="J227" s="10">
        <v>24503661</v>
      </c>
      <c r="K227" s="10">
        <v>88802</v>
      </c>
      <c r="L227" s="12">
        <v>2205585</v>
      </c>
      <c r="M227" s="13">
        <f>+_xlfn.XLOOKUP(D227&amp;"-"&amp;E227,'[1]Listado Lotes'!$K$3:$K$385,'[1]Listado Lotes'!$E$3:$E$385)</f>
        <v>298.69</v>
      </c>
      <c r="N227" s="28" t="s">
        <v>233</v>
      </c>
      <c r="O227" s="14" t="e">
        <v>#N/A</v>
      </c>
      <c r="P227" s="15" t="e">
        <v>#N/A</v>
      </c>
      <c r="Q227" s="16" t="e">
        <v>#N/A</v>
      </c>
      <c r="R227" s="16" t="e">
        <v>#N/A</v>
      </c>
      <c r="S227" s="17" t="e">
        <v>#N/A</v>
      </c>
      <c r="T227" s="17" t="e">
        <v>#N/A</v>
      </c>
      <c r="U227" s="18"/>
      <c r="V227" s="18"/>
      <c r="W227" s="18" t="e">
        <v>#N/A</v>
      </c>
      <c r="X227" s="19"/>
      <c r="Y227" s="19"/>
      <c r="Z227" s="19"/>
      <c r="AA227" s="19"/>
    </row>
    <row r="228" spans="1:27" ht="14.25" customHeight="1" x14ac:dyDescent="0.3">
      <c r="A228" s="11">
        <v>227</v>
      </c>
      <c r="B228" s="10">
        <v>5</v>
      </c>
      <c r="C228" s="11" t="s">
        <v>23</v>
      </c>
      <c r="D228" s="10">
        <v>95</v>
      </c>
      <c r="E228" s="10">
        <v>25</v>
      </c>
      <c r="F228" s="10">
        <v>95568</v>
      </c>
      <c r="G228" s="11" t="s">
        <v>83</v>
      </c>
      <c r="H228" s="10">
        <v>442</v>
      </c>
      <c r="I228" s="10">
        <v>74432</v>
      </c>
      <c r="J228" s="10">
        <v>24503663</v>
      </c>
      <c r="K228" s="10">
        <v>90596</v>
      </c>
      <c r="L228" s="12">
        <v>2250142</v>
      </c>
      <c r="M228" s="13">
        <f>+_xlfn.XLOOKUP(D228&amp;"-"&amp;E228,'[1]Listado Lotes'!$K$3:$K$385,'[1]Listado Lotes'!$E$3:$E$385)</f>
        <v>298.69</v>
      </c>
      <c r="N228" s="28" t="s">
        <v>233</v>
      </c>
      <c r="O228" s="14" t="e">
        <v>#N/A</v>
      </c>
      <c r="P228" s="15" t="e">
        <v>#N/A</v>
      </c>
      <c r="Q228" s="16" t="e">
        <v>#N/A</v>
      </c>
      <c r="R228" s="16" t="e">
        <v>#N/A</v>
      </c>
      <c r="S228" s="17" t="e">
        <v>#N/A</v>
      </c>
      <c r="T228" s="17" t="e">
        <v>#N/A</v>
      </c>
      <c r="U228" s="18"/>
      <c r="V228" s="18"/>
      <c r="W228" s="18" t="e">
        <v>#N/A</v>
      </c>
      <c r="X228" s="19"/>
      <c r="Y228" s="19"/>
      <c r="Z228" s="19"/>
      <c r="AA228" s="19"/>
    </row>
    <row r="229" spans="1:27" ht="14.25" customHeight="1" x14ac:dyDescent="0.3">
      <c r="A229" s="11">
        <v>228</v>
      </c>
      <c r="B229" s="10">
        <v>5</v>
      </c>
      <c r="C229" s="11" t="s">
        <v>23</v>
      </c>
      <c r="D229" s="10">
        <v>95</v>
      </c>
      <c r="E229" s="10">
        <v>26</v>
      </c>
      <c r="F229" s="10">
        <v>95569</v>
      </c>
      <c r="G229" s="11" t="s">
        <v>84</v>
      </c>
      <c r="H229" s="10">
        <v>442</v>
      </c>
      <c r="I229" s="10">
        <v>74433</v>
      </c>
      <c r="J229" s="10">
        <v>24503664</v>
      </c>
      <c r="K229" s="10">
        <v>87906</v>
      </c>
      <c r="L229" s="12">
        <v>2183321</v>
      </c>
      <c r="M229" s="13">
        <f>+_xlfn.XLOOKUP(D229&amp;"-"&amp;E229,'[1]Listado Lotes'!$K$3:$K$385,'[1]Listado Lotes'!$E$3:$E$385)</f>
        <v>298.69</v>
      </c>
      <c r="N229" s="28" t="s">
        <v>233</v>
      </c>
      <c r="O229" s="14" t="e">
        <v>#N/A</v>
      </c>
      <c r="P229" s="15" t="e">
        <v>#N/A</v>
      </c>
      <c r="Q229" s="16" t="e">
        <v>#N/A</v>
      </c>
      <c r="R229" s="16" t="e">
        <v>#N/A</v>
      </c>
      <c r="S229" s="17" t="e">
        <v>#N/A</v>
      </c>
      <c r="T229" s="17" t="e">
        <v>#N/A</v>
      </c>
      <c r="U229" s="18"/>
      <c r="V229" s="18"/>
      <c r="W229" s="18" t="e">
        <v>#N/A</v>
      </c>
      <c r="X229" s="19"/>
      <c r="Y229" s="19"/>
      <c r="Z229" s="19"/>
      <c r="AA229" s="19"/>
    </row>
    <row r="230" spans="1:27" ht="14.25" customHeight="1" x14ac:dyDescent="0.3">
      <c r="A230" s="11">
        <v>229</v>
      </c>
      <c r="B230" s="10">
        <v>5</v>
      </c>
      <c r="C230" s="11" t="s">
        <v>23</v>
      </c>
      <c r="D230" s="10">
        <v>95</v>
      </c>
      <c r="E230" s="10">
        <v>27</v>
      </c>
      <c r="F230" s="10">
        <v>95570</v>
      </c>
      <c r="G230" s="11" t="s">
        <v>85</v>
      </c>
      <c r="H230" s="10">
        <v>442</v>
      </c>
      <c r="I230" s="10">
        <v>74434</v>
      </c>
      <c r="J230" s="10">
        <v>24503667</v>
      </c>
      <c r="K230" s="10">
        <v>86112</v>
      </c>
      <c r="L230" s="12">
        <v>2138763</v>
      </c>
      <c r="M230" s="13">
        <f>+_xlfn.XLOOKUP(D230&amp;"-"&amp;E230,'[1]Listado Lotes'!$K$3:$K$385,'[1]Listado Lotes'!$E$3:$E$385)</f>
        <v>298.69</v>
      </c>
      <c r="N230" s="28" t="s">
        <v>233</v>
      </c>
      <c r="O230" s="14" t="e">
        <v>#N/A</v>
      </c>
      <c r="P230" s="15" t="e">
        <v>#N/A</v>
      </c>
      <c r="Q230" s="16" t="e">
        <v>#N/A</v>
      </c>
      <c r="R230" s="16" t="e">
        <v>#N/A</v>
      </c>
      <c r="S230" s="17" t="e">
        <v>#N/A</v>
      </c>
      <c r="T230" s="17" t="e">
        <v>#N/A</v>
      </c>
      <c r="U230" s="18"/>
      <c r="V230" s="18"/>
      <c r="W230" s="18" t="e">
        <v>#N/A</v>
      </c>
      <c r="X230" s="19"/>
      <c r="Y230" s="19"/>
      <c r="Z230" s="19"/>
      <c r="AA230" s="19"/>
    </row>
    <row r="231" spans="1:27" ht="14.25" customHeight="1" x14ac:dyDescent="0.3">
      <c r="A231" s="11">
        <v>230</v>
      </c>
      <c r="B231" s="10">
        <v>5</v>
      </c>
      <c r="C231" s="11" t="s">
        <v>23</v>
      </c>
      <c r="D231" s="10">
        <v>95</v>
      </c>
      <c r="E231" s="10">
        <v>28</v>
      </c>
      <c r="F231" s="10">
        <v>95571</v>
      </c>
      <c r="G231" s="11" t="s">
        <v>86</v>
      </c>
      <c r="H231" s="10">
        <v>442</v>
      </c>
      <c r="I231" s="10">
        <v>74435</v>
      </c>
      <c r="J231" s="10">
        <v>24503668</v>
      </c>
      <c r="K231" s="10">
        <v>87906</v>
      </c>
      <c r="L231" s="12">
        <v>2183321</v>
      </c>
      <c r="M231" s="13">
        <f>+_xlfn.XLOOKUP(D231&amp;"-"&amp;E231,'[1]Listado Lotes'!$K$3:$K$385,'[1]Listado Lotes'!$E$3:$E$385)</f>
        <v>298.69</v>
      </c>
      <c r="N231" s="28" t="s">
        <v>233</v>
      </c>
      <c r="O231" s="14" t="e">
        <v>#N/A</v>
      </c>
      <c r="P231" s="15" t="e">
        <v>#N/A</v>
      </c>
      <c r="Q231" s="16" t="e">
        <v>#N/A</v>
      </c>
      <c r="R231" s="16" t="e">
        <v>#N/A</v>
      </c>
      <c r="S231" s="17" t="e">
        <v>#N/A</v>
      </c>
      <c r="T231" s="17" t="e">
        <v>#N/A</v>
      </c>
      <c r="U231" s="18"/>
      <c r="V231" s="18"/>
      <c r="W231" s="18" t="e">
        <v>#N/A</v>
      </c>
      <c r="X231" s="19"/>
      <c r="Y231" s="19"/>
      <c r="Z231" s="19"/>
      <c r="AA231" s="19"/>
    </row>
    <row r="232" spans="1:27" ht="14.25" customHeight="1" x14ac:dyDescent="0.3">
      <c r="A232" s="11">
        <v>231</v>
      </c>
      <c r="B232" s="11" t="s">
        <v>87</v>
      </c>
      <c r="C232" s="11" t="s">
        <v>23</v>
      </c>
      <c r="D232" s="10">
        <v>96</v>
      </c>
      <c r="E232" s="10">
        <v>1</v>
      </c>
      <c r="F232" s="10">
        <v>65900</v>
      </c>
      <c r="G232" s="11" t="s">
        <v>88</v>
      </c>
      <c r="H232" s="10">
        <v>442</v>
      </c>
      <c r="I232" s="10">
        <v>107881</v>
      </c>
      <c r="J232" s="10">
        <v>24505695</v>
      </c>
      <c r="K232" s="11" t="s">
        <v>89</v>
      </c>
      <c r="L232" s="30"/>
      <c r="M232" s="13">
        <f>+_xlfn.XLOOKUP(D232&amp;"-"&amp;E232,'[1]Listado Lotes'!$K$3:$K$385,'[1]Listado Lotes'!$E$3:$E$385)</f>
        <v>229.5</v>
      </c>
      <c r="N232" s="28" t="s">
        <v>233</v>
      </c>
      <c r="O232" s="14" t="e">
        <v>#N/A</v>
      </c>
      <c r="P232" s="15" t="e">
        <v>#N/A</v>
      </c>
      <c r="Q232" s="16" t="e">
        <v>#N/A</v>
      </c>
      <c r="R232" s="16" t="e">
        <v>#N/A</v>
      </c>
      <c r="S232" s="17" t="e">
        <v>#N/A</v>
      </c>
      <c r="T232" s="17" t="e">
        <v>#N/A</v>
      </c>
      <c r="U232" s="18"/>
      <c r="V232" s="18"/>
      <c r="W232" s="18" t="e">
        <v>#N/A</v>
      </c>
      <c r="X232" s="19"/>
      <c r="Y232" s="19"/>
      <c r="Z232" s="19"/>
      <c r="AA232" s="19"/>
    </row>
    <row r="233" spans="1:27" ht="14.25" customHeight="1" x14ac:dyDescent="0.3">
      <c r="A233" s="11">
        <v>232</v>
      </c>
      <c r="B233" s="11" t="s">
        <v>87</v>
      </c>
      <c r="C233" s="11" t="s">
        <v>23</v>
      </c>
      <c r="D233" s="10">
        <v>96</v>
      </c>
      <c r="E233" s="10">
        <v>2</v>
      </c>
      <c r="F233" s="10">
        <v>95572</v>
      </c>
      <c r="G233" s="11" t="s">
        <v>90</v>
      </c>
      <c r="H233" s="10">
        <v>442</v>
      </c>
      <c r="I233" s="10">
        <v>107882</v>
      </c>
      <c r="J233" s="10">
        <v>24505697</v>
      </c>
      <c r="K233" s="11"/>
      <c r="L233" s="30"/>
      <c r="M233" s="13">
        <f>+_xlfn.XLOOKUP(D233&amp;"-"&amp;E233,'[1]Listado Lotes'!$K$3:$K$385,'[1]Listado Lotes'!$E$3:$E$385)</f>
        <v>233.98</v>
      </c>
      <c r="N233" s="28" t="s">
        <v>233</v>
      </c>
      <c r="O233" s="14" t="e">
        <v>#N/A</v>
      </c>
      <c r="P233" s="15" t="e">
        <v>#N/A</v>
      </c>
      <c r="Q233" s="16" t="e">
        <v>#N/A</v>
      </c>
      <c r="R233" s="16" t="e">
        <v>#N/A</v>
      </c>
      <c r="S233" s="17" t="e">
        <v>#N/A</v>
      </c>
      <c r="T233" s="17" t="e">
        <v>#N/A</v>
      </c>
      <c r="U233" s="18"/>
      <c r="V233" s="18"/>
      <c r="W233" s="18" t="e">
        <v>#N/A</v>
      </c>
      <c r="X233" s="19"/>
      <c r="Y233" s="19"/>
      <c r="Z233" s="19"/>
      <c r="AA233" s="19"/>
    </row>
    <row r="234" spans="1:27" ht="14.25" customHeight="1" x14ac:dyDescent="0.3">
      <c r="A234" s="11">
        <v>233</v>
      </c>
      <c r="B234" s="11" t="s">
        <v>87</v>
      </c>
      <c r="C234" s="11" t="s">
        <v>23</v>
      </c>
      <c r="D234" s="10">
        <v>96</v>
      </c>
      <c r="E234" s="10">
        <v>3</v>
      </c>
      <c r="F234" s="10">
        <v>95573</v>
      </c>
      <c r="G234" s="11" t="s">
        <v>91</v>
      </c>
      <c r="H234" s="10">
        <v>442</v>
      </c>
      <c r="I234" s="10">
        <v>107883</v>
      </c>
      <c r="J234" s="10">
        <v>24505706</v>
      </c>
      <c r="K234" s="11"/>
      <c r="L234" s="30"/>
      <c r="M234" s="13">
        <f>+_xlfn.XLOOKUP(D234&amp;"-"&amp;E234,'[1]Listado Lotes'!$K$3:$K$385,'[1]Listado Lotes'!$E$3:$E$385)</f>
        <v>233.98</v>
      </c>
      <c r="N234" s="28" t="s">
        <v>233</v>
      </c>
      <c r="O234" s="14" t="e">
        <v>#N/A</v>
      </c>
      <c r="P234" s="15" t="e">
        <v>#N/A</v>
      </c>
      <c r="Q234" s="16" t="e">
        <v>#N/A</v>
      </c>
      <c r="R234" s="16" t="e">
        <v>#N/A</v>
      </c>
      <c r="S234" s="17" t="e">
        <v>#N/A</v>
      </c>
      <c r="T234" s="17" t="e">
        <v>#N/A</v>
      </c>
      <c r="U234" s="18"/>
      <c r="V234" s="18"/>
      <c r="W234" s="18" t="e">
        <v>#N/A</v>
      </c>
      <c r="X234" s="19"/>
      <c r="Y234" s="19"/>
      <c r="Z234" s="19"/>
      <c r="AA234" s="19"/>
    </row>
    <row r="235" spans="1:27" ht="14.25" customHeight="1" x14ac:dyDescent="0.3">
      <c r="A235" s="11">
        <v>234</v>
      </c>
      <c r="B235" s="11" t="s">
        <v>87</v>
      </c>
      <c r="C235" s="11" t="s">
        <v>23</v>
      </c>
      <c r="D235" s="10">
        <v>96</v>
      </c>
      <c r="E235" s="10">
        <v>12</v>
      </c>
      <c r="F235" s="10">
        <v>95582</v>
      </c>
      <c r="G235" s="11" t="s">
        <v>92</v>
      </c>
      <c r="H235" s="10">
        <v>442</v>
      </c>
      <c r="I235" s="10">
        <v>30003</v>
      </c>
      <c r="J235" s="10">
        <v>24505709</v>
      </c>
      <c r="K235" s="11"/>
      <c r="L235" s="30"/>
      <c r="M235" s="13">
        <f>+_xlfn.XLOOKUP(D235&amp;"-"&amp;E235,'[1]Listado Lotes'!$K$3:$K$385,'[1]Listado Lotes'!$E$3:$E$385)</f>
        <v>298.69</v>
      </c>
      <c r="N235" s="28" t="s">
        <v>233</v>
      </c>
      <c r="O235" s="14" t="e">
        <v>#N/A</v>
      </c>
      <c r="P235" s="15" t="e">
        <v>#N/A</v>
      </c>
      <c r="Q235" s="16" t="e">
        <v>#N/A</v>
      </c>
      <c r="R235" s="16" t="e">
        <v>#N/A</v>
      </c>
      <c r="S235" s="17" t="e">
        <v>#N/A</v>
      </c>
      <c r="T235" s="17" t="e">
        <v>#N/A</v>
      </c>
      <c r="U235" s="18"/>
      <c r="V235" s="18"/>
      <c r="W235" s="18" t="e">
        <v>#N/A</v>
      </c>
      <c r="X235" s="19"/>
      <c r="Y235" s="19"/>
      <c r="Z235" s="19"/>
      <c r="AA235" s="19"/>
    </row>
    <row r="236" spans="1:27" ht="14.25" customHeight="1" x14ac:dyDescent="0.3">
      <c r="A236" s="11">
        <v>235</v>
      </c>
      <c r="B236" s="11" t="s">
        <v>87</v>
      </c>
      <c r="C236" s="11" t="s">
        <v>23</v>
      </c>
      <c r="D236" s="10">
        <v>96</v>
      </c>
      <c r="E236" s="10">
        <v>13</v>
      </c>
      <c r="F236" s="10">
        <v>95583</v>
      </c>
      <c r="G236" s="11" t="s">
        <v>93</v>
      </c>
      <c r="H236" s="10">
        <v>442</v>
      </c>
      <c r="I236" s="10">
        <v>107884</v>
      </c>
      <c r="J236" s="10">
        <v>24505712</v>
      </c>
      <c r="K236" s="11"/>
      <c r="L236" s="30"/>
      <c r="M236" s="13">
        <f>+_xlfn.XLOOKUP(D236&amp;"-"&amp;E236,'[1]Listado Lotes'!$K$3:$K$385,'[1]Listado Lotes'!$E$3:$E$385)</f>
        <v>298.69</v>
      </c>
      <c r="N236" s="28" t="s">
        <v>233</v>
      </c>
      <c r="O236" s="14" t="e">
        <v>#N/A</v>
      </c>
      <c r="P236" s="15" t="e">
        <v>#N/A</v>
      </c>
      <c r="Q236" s="16" t="e">
        <v>#N/A</v>
      </c>
      <c r="R236" s="16" t="e">
        <v>#N/A</v>
      </c>
      <c r="S236" s="17" t="e">
        <v>#N/A</v>
      </c>
      <c r="T236" s="17" t="e">
        <v>#N/A</v>
      </c>
      <c r="U236" s="18"/>
      <c r="V236" s="18"/>
      <c r="W236" s="18" t="e">
        <v>#N/A</v>
      </c>
      <c r="X236" s="19"/>
      <c r="Y236" s="19"/>
      <c r="Z236" s="19"/>
      <c r="AA236" s="19"/>
    </row>
    <row r="237" spans="1:27" ht="14.25" customHeight="1" x14ac:dyDescent="0.3">
      <c r="A237" s="11">
        <v>236</v>
      </c>
      <c r="B237" s="11" t="s">
        <v>87</v>
      </c>
      <c r="C237" s="11" t="s">
        <v>23</v>
      </c>
      <c r="D237" s="10">
        <v>96</v>
      </c>
      <c r="E237" s="10">
        <v>15</v>
      </c>
      <c r="F237" s="10">
        <v>95585</v>
      </c>
      <c r="G237" s="11" t="s">
        <v>94</v>
      </c>
      <c r="H237" s="10">
        <v>442</v>
      </c>
      <c r="I237" s="10">
        <v>107885</v>
      </c>
      <c r="J237" s="10">
        <v>24505722</v>
      </c>
      <c r="K237" s="11"/>
      <c r="L237" s="30"/>
      <c r="M237" s="13">
        <f>+_xlfn.XLOOKUP(D237&amp;"-"&amp;E237,'[1]Listado Lotes'!$K$3:$K$385,'[1]Listado Lotes'!$E$3:$E$385)</f>
        <v>229.5</v>
      </c>
      <c r="N237" s="28" t="s">
        <v>233</v>
      </c>
      <c r="O237" s="14" t="e">
        <v>#N/A</v>
      </c>
      <c r="P237" s="15" t="e">
        <v>#N/A</v>
      </c>
      <c r="Q237" s="16" t="e">
        <v>#N/A</v>
      </c>
      <c r="R237" s="16" t="e">
        <v>#N/A</v>
      </c>
      <c r="S237" s="17" t="e">
        <v>#N/A</v>
      </c>
      <c r="T237" s="17" t="e">
        <v>#N/A</v>
      </c>
      <c r="U237" s="18"/>
      <c r="V237" s="18"/>
      <c r="W237" s="18" t="e">
        <v>#N/A</v>
      </c>
      <c r="X237" s="19"/>
      <c r="Y237" s="19"/>
      <c r="Z237" s="19"/>
      <c r="AA237" s="19"/>
    </row>
    <row r="238" spans="1:27" ht="14.25" customHeight="1" x14ac:dyDescent="0.3">
      <c r="A238" s="11">
        <v>237</v>
      </c>
      <c r="B238" s="11" t="s">
        <v>87</v>
      </c>
      <c r="C238" s="11" t="s">
        <v>23</v>
      </c>
      <c r="D238" s="10">
        <v>96</v>
      </c>
      <c r="E238" s="10">
        <v>16</v>
      </c>
      <c r="F238" s="10">
        <v>95586</v>
      </c>
      <c r="G238" s="11" t="s">
        <v>95</v>
      </c>
      <c r="H238" s="10">
        <v>442</v>
      </c>
      <c r="I238" s="10">
        <v>107886</v>
      </c>
      <c r="J238" s="10">
        <v>24505724</v>
      </c>
      <c r="K238" s="11"/>
      <c r="L238" s="30"/>
      <c r="M238" s="13">
        <f>+_xlfn.XLOOKUP(D238&amp;"-"&amp;E238,'[1]Listado Lotes'!$K$3:$K$385,'[1]Listado Lotes'!$E$3:$E$385)</f>
        <v>233.98</v>
      </c>
      <c r="N238" s="28" t="s">
        <v>233</v>
      </c>
      <c r="O238" s="14" t="e">
        <v>#N/A</v>
      </c>
      <c r="P238" s="15" t="e">
        <v>#N/A</v>
      </c>
      <c r="Q238" s="16" t="e">
        <v>#N/A</v>
      </c>
      <c r="R238" s="16" t="e">
        <v>#N/A</v>
      </c>
      <c r="S238" s="17" t="e">
        <v>#N/A</v>
      </c>
      <c r="T238" s="17" t="e">
        <v>#N/A</v>
      </c>
      <c r="U238" s="18"/>
      <c r="V238" s="18"/>
      <c r="W238" s="18" t="e">
        <v>#N/A</v>
      </c>
      <c r="X238" s="19"/>
      <c r="Y238" s="19"/>
      <c r="Z238" s="19"/>
      <c r="AA238" s="19"/>
    </row>
    <row r="239" spans="1:27" ht="14.25" customHeight="1" x14ac:dyDescent="0.3">
      <c r="A239" s="11">
        <v>238</v>
      </c>
      <c r="B239" s="11" t="s">
        <v>87</v>
      </c>
      <c r="C239" s="11" t="s">
        <v>23</v>
      </c>
      <c r="D239" s="10">
        <v>96</v>
      </c>
      <c r="E239" s="10">
        <v>17</v>
      </c>
      <c r="F239" s="10">
        <v>95587</v>
      </c>
      <c r="G239" s="11" t="s">
        <v>96</v>
      </c>
      <c r="H239" s="10">
        <v>442</v>
      </c>
      <c r="I239" s="10">
        <v>107887</v>
      </c>
      <c r="J239" s="10">
        <v>24505727</v>
      </c>
      <c r="K239" s="11"/>
      <c r="L239" s="30"/>
      <c r="M239" s="13">
        <f>+_xlfn.XLOOKUP(D239&amp;"-"&amp;E239,'[1]Listado Lotes'!$K$3:$K$385,'[1]Listado Lotes'!$E$3:$E$385)</f>
        <v>233.98</v>
      </c>
      <c r="N239" s="28" t="s">
        <v>233</v>
      </c>
      <c r="O239" s="14" t="e">
        <v>#N/A</v>
      </c>
      <c r="P239" s="15" t="e">
        <v>#N/A</v>
      </c>
      <c r="Q239" s="16" t="e">
        <v>#N/A</v>
      </c>
      <c r="R239" s="16" t="e">
        <v>#N/A</v>
      </c>
      <c r="S239" s="17" t="e">
        <v>#N/A</v>
      </c>
      <c r="T239" s="17" t="e">
        <v>#N/A</v>
      </c>
      <c r="U239" s="18"/>
      <c r="V239" s="18"/>
      <c r="W239" s="18" t="e">
        <v>#N/A</v>
      </c>
      <c r="X239" s="19"/>
      <c r="Y239" s="19"/>
      <c r="Z239" s="19"/>
      <c r="AA239" s="19"/>
    </row>
    <row r="240" spans="1:27" ht="14.25" customHeight="1" x14ac:dyDescent="0.3">
      <c r="A240" s="11">
        <v>239</v>
      </c>
      <c r="B240" s="11" t="s">
        <v>87</v>
      </c>
      <c r="C240" s="11" t="s">
        <v>23</v>
      </c>
      <c r="D240" s="10">
        <v>96</v>
      </c>
      <c r="E240" s="10">
        <v>19</v>
      </c>
      <c r="F240" s="10">
        <v>95589</v>
      </c>
      <c r="G240" s="11" t="s">
        <v>97</v>
      </c>
      <c r="H240" s="10">
        <v>442</v>
      </c>
      <c r="I240" s="10">
        <v>107888</v>
      </c>
      <c r="J240" s="10">
        <v>24505735</v>
      </c>
      <c r="K240" s="11"/>
      <c r="L240" s="30"/>
      <c r="M240" s="13">
        <f>+_xlfn.XLOOKUP(D240&amp;"-"&amp;E240,'[1]Listado Lotes'!$K$3:$K$385,'[1]Listado Lotes'!$E$3:$E$385)</f>
        <v>233.98</v>
      </c>
      <c r="N240" s="28" t="s">
        <v>233</v>
      </c>
      <c r="O240" s="14" t="e">
        <v>#N/A</v>
      </c>
      <c r="P240" s="15" t="e">
        <v>#N/A</v>
      </c>
      <c r="Q240" s="16" t="e">
        <v>#N/A</v>
      </c>
      <c r="R240" s="16" t="e">
        <v>#N/A</v>
      </c>
      <c r="S240" s="17" t="e">
        <v>#N/A</v>
      </c>
      <c r="T240" s="17" t="e">
        <v>#N/A</v>
      </c>
      <c r="U240" s="18"/>
      <c r="V240" s="18"/>
      <c r="W240" s="18" t="e">
        <v>#N/A</v>
      </c>
      <c r="X240" s="19"/>
      <c r="Y240" s="19"/>
      <c r="Z240" s="19"/>
      <c r="AA240" s="19"/>
    </row>
    <row r="241" spans="1:27" ht="14.25" customHeight="1" x14ac:dyDescent="0.3">
      <c r="A241" s="11">
        <v>240</v>
      </c>
      <c r="B241" s="11" t="s">
        <v>87</v>
      </c>
      <c r="C241" s="11" t="s">
        <v>23</v>
      </c>
      <c r="D241" s="10">
        <v>96</v>
      </c>
      <c r="E241" s="10">
        <v>20</v>
      </c>
      <c r="F241" s="10">
        <v>95590</v>
      </c>
      <c r="G241" s="11" t="s">
        <v>98</v>
      </c>
      <c r="H241" s="10">
        <v>442</v>
      </c>
      <c r="I241" s="10">
        <v>107889</v>
      </c>
      <c r="J241" s="10">
        <v>24505744</v>
      </c>
      <c r="K241" s="11"/>
      <c r="L241" s="30"/>
      <c r="M241" s="13">
        <f>+_xlfn.XLOOKUP(D241&amp;"-"&amp;E241,'[1]Listado Lotes'!$K$3:$K$385,'[1]Listado Lotes'!$E$3:$E$385)</f>
        <v>229.5</v>
      </c>
      <c r="N241" s="28" t="s">
        <v>233</v>
      </c>
      <c r="O241" s="14" t="e">
        <v>#N/A</v>
      </c>
      <c r="P241" s="15" t="e">
        <v>#N/A</v>
      </c>
      <c r="Q241" s="16" t="e">
        <v>#N/A</v>
      </c>
      <c r="R241" s="16" t="e">
        <v>#N/A</v>
      </c>
      <c r="S241" s="17" t="e">
        <v>#N/A</v>
      </c>
      <c r="T241" s="17" t="e">
        <v>#N/A</v>
      </c>
      <c r="U241" s="18"/>
      <c r="V241" s="18"/>
      <c r="W241" s="18" t="e">
        <v>#N/A</v>
      </c>
      <c r="X241" s="19"/>
      <c r="Y241" s="19"/>
      <c r="Z241" s="19"/>
      <c r="AA241" s="19"/>
    </row>
    <row r="242" spans="1:27" ht="14.25" customHeight="1" x14ac:dyDescent="0.3">
      <c r="A242" s="11">
        <v>241</v>
      </c>
      <c r="B242" s="11" t="s">
        <v>87</v>
      </c>
      <c r="C242" s="11" t="s">
        <v>23</v>
      </c>
      <c r="D242" s="10">
        <v>96</v>
      </c>
      <c r="E242" s="10">
        <v>22</v>
      </c>
      <c r="F242" s="10">
        <v>95592</v>
      </c>
      <c r="G242" s="11" t="s">
        <v>99</v>
      </c>
      <c r="H242" s="10">
        <v>442</v>
      </c>
      <c r="I242" s="10">
        <v>107890</v>
      </c>
      <c r="J242" s="10">
        <v>24505751</v>
      </c>
      <c r="K242" s="11"/>
      <c r="L242" s="30"/>
      <c r="M242" s="13">
        <f>+_xlfn.XLOOKUP(D242&amp;"-"&amp;E242,'[1]Listado Lotes'!$K$3:$K$385,'[1]Listado Lotes'!$E$3:$E$385)</f>
        <v>298.69</v>
      </c>
      <c r="N242" s="28" t="s">
        <v>233</v>
      </c>
      <c r="O242" s="14" t="e">
        <v>#N/A</v>
      </c>
      <c r="P242" s="15" t="e">
        <v>#N/A</v>
      </c>
      <c r="Q242" s="16" t="e">
        <v>#N/A</v>
      </c>
      <c r="R242" s="16" t="e">
        <v>#N/A</v>
      </c>
      <c r="S242" s="17" t="e">
        <v>#N/A</v>
      </c>
      <c r="T242" s="17" t="e">
        <v>#N/A</v>
      </c>
      <c r="U242" s="18"/>
      <c r="V242" s="18"/>
      <c r="W242" s="18" t="e">
        <v>#N/A</v>
      </c>
      <c r="X242" s="19"/>
      <c r="Y242" s="19"/>
      <c r="Z242" s="19"/>
      <c r="AA242" s="19"/>
    </row>
    <row r="243" spans="1:27" ht="14.25" customHeight="1" x14ac:dyDescent="0.3">
      <c r="A243" s="11">
        <v>242</v>
      </c>
      <c r="B243" s="11" t="s">
        <v>87</v>
      </c>
      <c r="C243" s="11" t="s">
        <v>23</v>
      </c>
      <c r="D243" s="10">
        <v>96</v>
      </c>
      <c r="E243" s="10">
        <v>23</v>
      </c>
      <c r="F243" s="10">
        <v>95593</v>
      </c>
      <c r="G243" s="11" t="s">
        <v>100</v>
      </c>
      <c r="H243" s="10">
        <v>442</v>
      </c>
      <c r="I243" s="10">
        <v>74403</v>
      </c>
      <c r="J243" s="10">
        <v>24505752</v>
      </c>
      <c r="K243" s="11"/>
      <c r="L243" s="30"/>
      <c r="M243" s="13">
        <f>+_xlfn.XLOOKUP(D243&amp;"-"&amp;E243,'[1]Listado Lotes'!$K$3:$K$385,'[1]Listado Lotes'!$E$3:$E$385)</f>
        <v>298.69</v>
      </c>
      <c r="N243" s="28" t="s">
        <v>233</v>
      </c>
      <c r="O243" s="14" t="e">
        <v>#N/A</v>
      </c>
      <c r="P243" s="15" t="e">
        <v>#N/A</v>
      </c>
      <c r="Q243" s="16" t="e">
        <v>#N/A</v>
      </c>
      <c r="R243" s="16" t="e">
        <v>#N/A</v>
      </c>
      <c r="S243" s="17" t="e">
        <v>#N/A</v>
      </c>
      <c r="T243" s="17" t="e">
        <v>#N/A</v>
      </c>
      <c r="U243" s="18"/>
      <c r="V243" s="18"/>
      <c r="W243" s="18" t="e">
        <v>#N/A</v>
      </c>
      <c r="X243" s="19"/>
      <c r="Y243" s="19"/>
      <c r="Z243" s="19"/>
      <c r="AA243" s="19"/>
    </row>
    <row r="244" spans="1:27" ht="14.25" customHeight="1" x14ac:dyDescent="0.3">
      <c r="A244" s="11">
        <v>243</v>
      </c>
      <c r="B244" s="11" t="s">
        <v>87</v>
      </c>
      <c r="C244" s="11" t="s">
        <v>23</v>
      </c>
      <c r="D244" s="10">
        <v>96</v>
      </c>
      <c r="E244" s="10">
        <v>24</v>
      </c>
      <c r="F244" s="10">
        <v>95594</v>
      </c>
      <c r="G244" s="11" t="s">
        <v>101</v>
      </c>
      <c r="H244" s="10">
        <v>442</v>
      </c>
      <c r="I244" s="10">
        <v>107891</v>
      </c>
      <c r="J244" s="10">
        <v>24505819</v>
      </c>
      <c r="K244" s="11"/>
      <c r="L244" s="30"/>
      <c r="M244" s="13">
        <f>+_xlfn.XLOOKUP(D244&amp;"-"&amp;E244,'[1]Listado Lotes'!$K$3:$K$385,'[1]Listado Lotes'!$E$3:$E$385)</f>
        <v>298.69</v>
      </c>
      <c r="N244" s="28" t="s">
        <v>233</v>
      </c>
      <c r="O244" s="14" t="e">
        <v>#N/A</v>
      </c>
      <c r="P244" s="15" t="e">
        <v>#N/A</v>
      </c>
      <c r="Q244" s="16" t="e">
        <v>#N/A</v>
      </c>
      <c r="R244" s="16" t="e">
        <v>#N/A</v>
      </c>
      <c r="S244" s="17" t="e">
        <v>#N/A</v>
      </c>
      <c r="T244" s="17" t="e">
        <v>#N/A</v>
      </c>
      <c r="U244" s="18"/>
      <c r="V244" s="18"/>
      <c r="W244" s="18" t="e">
        <v>#N/A</v>
      </c>
      <c r="X244" s="19"/>
      <c r="Y244" s="19"/>
      <c r="Z244" s="19"/>
      <c r="AA244" s="19"/>
    </row>
    <row r="245" spans="1:27" ht="14.25" customHeight="1" x14ac:dyDescent="0.3">
      <c r="A245" s="11">
        <v>244</v>
      </c>
      <c r="B245" s="11" t="s">
        <v>87</v>
      </c>
      <c r="C245" s="11" t="s">
        <v>23</v>
      </c>
      <c r="D245" s="10">
        <v>96</v>
      </c>
      <c r="E245" s="10">
        <v>26</v>
      </c>
      <c r="F245" s="10">
        <v>95596</v>
      </c>
      <c r="G245" s="11" t="s">
        <v>102</v>
      </c>
      <c r="H245" s="10">
        <v>442</v>
      </c>
      <c r="I245" s="10">
        <v>74404</v>
      </c>
      <c r="J245" s="10">
        <v>24505822</v>
      </c>
      <c r="K245" s="11"/>
      <c r="L245" s="30"/>
      <c r="M245" s="13">
        <f>+_xlfn.XLOOKUP(D245&amp;"-"&amp;E245,'[1]Listado Lotes'!$K$3:$K$385,'[1]Listado Lotes'!$E$3:$E$385)</f>
        <v>298.69</v>
      </c>
      <c r="N245" s="28" t="s">
        <v>233</v>
      </c>
      <c r="O245" s="14" t="e">
        <v>#N/A</v>
      </c>
      <c r="P245" s="15" t="e">
        <v>#N/A</v>
      </c>
      <c r="Q245" s="16" t="e">
        <v>#N/A</v>
      </c>
      <c r="R245" s="16" t="e">
        <v>#N/A</v>
      </c>
      <c r="S245" s="17" t="e">
        <v>#N/A</v>
      </c>
      <c r="T245" s="17" t="e">
        <v>#N/A</v>
      </c>
      <c r="U245" s="18"/>
      <c r="V245" s="18"/>
      <c r="W245" s="18" t="e">
        <v>#N/A</v>
      </c>
      <c r="X245" s="19"/>
      <c r="Y245" s="19"/>
      <c r="Z245" s="19"/>
      <c r="AA245" s="19"/>
    </row>
    <row r="246" spans="1:27" ht="14.25" customHeight="1" x14ac:dyDescent="0.3">
      <c r="A246" s="11">
        <v>245</v>
      </c>
      <c r="B246" s="11" t="s">
        <v>87</v>
      </c>
      <c r="C246" s="11" t="s">
        <v>23</v>
      </c>
      <c r="D246" s="10">
        <v>96</v>
      </c>
      <c r="E246" s="10">
        <v>27</v>
      </c>
      <c r="F246" s="10">
        <v>95597</v>
      </c>
      <c r="G246" s="11" t="s">
        <v>103</v>
      </c>
      <c r="H246" s="10">
        <v>442</v>
      </c>
      <c r="I246" s="10">
        <v>74405</v>
      </c>
      <c r="J246" s="10">
        <v>24505823</v>
      </c>
      <c r="K246" s="11"/>
      <c r="L246" s="30"/>
      <c r="M246" s="13">
        <f>+_xlfn.XLOOKUP(D246&amp;"-"&amp;E246,'[1]Listado Lotes'!$K$3:$K$385,'[1]Listado Lotes'!$E$3:$E$385)</f>
        <v>298.69</v>
      </c>
      <c r="N246" s="28" t="s">
        <v>233</v>
      </c>
      <c r="O246" s="14" t="e">
        <v>#N/A</v>
      </c>
      <c r="P246" s="15" t="e">
        <v>#N/A</v>
      </c>
      <c r="Q246" s="16" t="e">
        <v>#N/A</v>
      </c>
      <c r="R246" s="16" t="e">
        <v>#N/A</v>
      </c>
      <c r="S246" s="17" t="e">
        <v>#N/A</v>
      </c>
      <c r="T246" s="17" t="e">
        <v>#N/A</v>
      </c>
      <c r="U246" s="18"/>
      <c r="V246" s="18"/>
      <c r="W246" s="18" t="e">
        <v>#N/A</v>
      </c>
      <c r="X246" s="19"/>
      <c r="Y246" s="19"/>
      <c r="Z246" s="19"/>
      <c r="AA246" s="19"/>
    </row>
    <row r="247" spans="1:27" ht="14.25" customHeight="1" x14ac:dyDescent="0.3">
      <c r="A247" s="11">
        <v>246</v>
      </c>
      <c r="B247" s="11" t="s">
        <v>87</v>
      </c>
      <c r="C247" s="11" t="s">
        <v>23</v>
      </c>
      <c r="D247" s="10">
        <v>96</v>
      </c>
      <c r="E247" s="10">
        <v>28</v>
      </c>
      <c r="F247" s="10">
        <v>95598</v>
      </c>
      <c r="G247" s="11" t="s">
        <v>103</v>
      </c>
      <c r="H247" s="10">
        <v>442</v>
      </c>
      <c r="I247" s="10">
        <v>74406</v>
      </c>
      <c r="J247" s="10">
        <v>24505826</v>
      </c>
      <c r="K247" s="11"/>
      <c r="L247" s="30"/>
      <c r="M247" s="13">
        <f>+_xlfn.XLOOKUP(D247&amp;"-"&amp;E247,'[1]Listado Lotes'!$K$3:$K$385,'[1]Listado Lotes'!$E$3:$E$385)</f>
        <v>298.69</v>
      </c>
      <c r="N247" s="28" t="s">
        <v>233</v>
      </c>
      <c r="O247" s="14" t="e">
        <v>#N/A</v>
      </c>
      <c r="P247" s="15" t="e">
        <v>#N/A</v>
      </c>
      <c r="Q247" s="16" t="e">
        <v>#N/A</v>
      </c>
      <c r="R247" s="16" t="e">
        <v>#N/A</v>
      </c>
      <c r="S247" s="17" t="e">
        <v>#N/A</v>
      </c>
      <c r="T247" s="17" t="e">
        <v>#N/A</v>
      </c>
      <c r="U247" s="18"/>
      <c r="V247" s="18"/>
      <c r="W247" s="18" t="e">
        <v>#N/A</v>
      </c>
      <c r="X247" s="19"/>
      <c r="Y247" s="19"/>
      <c r="Z247" s="19"/>
      <c r="AA247" s="19"/>
    </row>
    <row r="248" spans="1:27" ht="14.25" customHeight="1" x14ac:dyDescent="0.3">
      <c r="A248" s="11">
        <v>247</v>
      </c>
      <c r="B248" s="11" t="s">
        <v>87</v>
      </c>
      <c r="C248" s="11" t="s">
        <v>23</v>
      </c>
      <c r="D248" s="10">
        <v>124</v>
      </c>
      <c r="E248" s="10">
        <v>6</v>
      </c>
      <c r="F248" s="10">
        <v>96225</v>
      </c>
      <c r="G248" s="11" t="s">
        <v>104</v>
      </c>
      <c r="H248" s="10">
        <v>442</v>
      </c>
      <c r="I248" s="10">
        <v>107876</v>
      </c>
      <c r="J248" s="10">
        <v>24505837</v>
      </c>
      <c r="K248" s="11" t="s">
        <v>105</v>
      </c>
      <c r="L248" s="30"/>
      <c r="M248" s="13">
        <f>+_xlfn.XLOOKUP(D248&amp;"-"&amp;E248,'[1]Listado Lotes'!$K$3:$K$385,'[1]Listado Lotes'!$E$3:$E$385)</f>
        <v>233.98</v>
      </c>
      <c r="N248" s="28" t="s">
        <v>233</v>
      </c>
      <c r="O248" s="14" t="e">
        <v>#N/A</v>
      </c>
      <c r="P248" s="15" t="e">
        <v>#N/A</v>
      </c>
      <c r="Q248" s="16" t="e">
        <v>#N/A</v>
      </c>
      <c r="R248" s="16" t="e">
        <v>#N/A</v>
      </c>
      <c r="S248" s="17" t="e">
        <v>#N/A</v>
      </c>
      <c r="T248" s="17" t="e">
        <v>#N/A</v>
      </c>
      <c r="U248" s="18"/>
      <c r="V248" s="18"/>
      <c r="W248" s="18" t="e">
        <v>#N/A</v>
      </c>
      <c r="X248" s="19"/>
      <c r="Y248" s="19"/>
      <c r="Z248" s="19"/>
      <c r="AA248" s="19"/>
    </row>
    <row r="249" spans="1:27" ht="14.25" customHeight="1" x14ac:dyDescent="0.3">
      <c r="A249" s="11">
        <v>248</v>
      </c>
      <c r="B249" s="11" t="s">
        <v>87</v>
      </c>
      <c r="C249" s="11" t="s">
        <v>23</v>
      </c>
      <c r="D249" s="10">
        <v>124</v>
      </c>
      <c r="E249" s="10">
        <v>7</v>
      </c>
      <c r="F249" s="10">
        <v>96226</v>
      </c>
      <c r="G249" s="11" t="s">
        <v>106</v>
      </c>
      <c r="H249" s="10">
        <v>442</v>
      </c>
      <c r="I249" s="10">
        <v>107892</v>
      </c>
      <c r="J249" s="10">
        <v>24505840</v>
      </c>
      <c r="K249" s="11"/>
      <c r="L249" s="30"/>
      <c r="M249" s="13">
        <f>+_xlfn.XLOOKUP(D249&amp;"-"&amp;E249,'[1]Listado Lotes'!$K$3:$K$385,'[1]Listado Lotes'!$E$3:$E$385)</f>
        <v>229.5</v>
      </c>
      <c r="N249" s="28" t="s">
        <v>233</v>
      </c>
      <c r="O249" s="14" t="e">
        <v>#N/A</v>
      </c>
      <c r="P249" s="15" t="e">
        <v>#N/A</v>
      </c>
      <c r="Q249" s="16" t="e">
        <v>#N/A</v>
      </c>
      <c r="R249" s="16" t="e">
        <v>#N/A</v>
      </c>
      <c r="S249" s="17" t="e">
        <v>#N/A</v>
      </c>
      <c r="T249" s="17" t="e">
        <v>#N/A</v>
      </c>
      <c r="U249" s="18"/>
      <c r="V249" s="18"/>
      <c r="W249" s="18" t="e">
        <v>#N/A</v>
      </c>
      <c r="X249" s="19"/>
      <c r="Y249" s="19"/>
      <c r="Z249" s="19"/>
      <c r="AA249" s="19"/>
    </row>
    <row r="250" spans="1:27" ht="14.25" customHeight="1" x14ac:dyDescent="0.3">
      <c r="A250" s="11">
        <v>249</v>
      </c>
      <c r="B250" s="11" t="s">
        <v>87</v>
      </c>
      <c r="C250" s="11" t="s">
        <v>23</v>
      </c>
      <c r="D250" s="10">
        <v>124</v>
      </c>
      <c r="E250" s="10">
        <v>9</v>
      </c>
      <c r="F250" s="10">
        <v>96228</v>
      </c>
      <c r="G250" s="11" t="s">
        <v>107</v>
      </c>
      <c r="H250" s="10">
        <v>442</v>
      </c>
      <c r="I250" s="10">
        <v>107893</v>
      </c>
      <c r="J250" s="10">
        <v>24505872</v>
      </c>
      <c r="K250" s="11"/>
      <c r="L250" s="30"/>
      <c r="M250" s="13">
        <f>+_xlfn.XLOOKUP(D250&amp;"-"&amp;E250,'[1]Listado Lotes'!$K$3:$K$385,'[1]Listado Lotes'!$E$3:$E$385)</f>
        <v>398.26</v>
      </c>
      <c r="N250" s="28" t="s">
        <v>233</v>
      </c>
      <c r="O250" s="14" t="e">
        <v>#N/A</v>
      </c>
      <c r="P250" s="15" t="e">
        <v>#N/A</v>
      </c>
      <c r="Q250" s="16" t="e">
        <v>#N/A</v>
      </c>
      <c r="R250" s="16" t="e">
        <v>#N/A</v>
      </c>
      <c r="S250" s="17" t="e">
        <v>#N/A</v>
      </c>
      <c r="T250" s="17" t="e">
        <v>#N/A</v>
      </c>
      <c r="U250" s="18"/>
      <c r="V250" s="18"/>
      <c r="W250" s="18" t="e">
        <v>#N/A</v>
      </c>
      <c r="X250" s="19"/>
      <c r="Y250" s="19"/>
      <c r="Z250" s="19"/>
      <c r="AA250" s="19"/>
    </row>
    <row r="251" spans="1:27" ht="14.25" customHeight="1" x14ac:dyDescent="0.3">
      <c r="A251" s="11">
        <v>250</v>
      </c>
      <c r="B251" s="11" t="s">
        <v>87</v>
      </c>
      <c r="C251" s="11" t="s">
        <v>23</v>
      </c>
      <c r="D251" s="10">
        <v>124</v>
      </c>
      <c r="E251" s="10">
        <v>10</v>
      </c>
      <c r="F251" s="10">
        <v>96229</v>
      </c>
      <c r="G251" s="11" t="s">
        <v>108</v>
      </c>
      <c r="H251" s="10">
        <v>442</v>
      </c>
      <c r="I251" s="10">
        <v>107894</v>
      </c>
      <c r="J251" s="10">
        <v>24505919</v>
      </c>
      <c r="K251" s="11"/>
      <c r="L251" s="30"/>
      <c r="M251" s="13">
        <f>+_xlfn.XLOOKUP(D251&amp;"-"&amp;E251,'[1]Listado Lotes'!$K$3:$K$385,'[1]Listado Lotes'!$E$3:$E$385)</f>
        <v>398.26</v>
      </c>
      <c r="N251" s="28" t="s">
        <v>233</v>
      </c>
      <c r="O251" s="14" t="e">
        <v>#N/A</v>
      </c>
      <c r="P251" s="15" t="e">
        <v>#N/A</v>
      </c>
      <c r="Q251" s="16" t="e">
        <v>#N/A</v>
      </c>
      <c r="R251" s="16" t="e">
        <v>#N/A</v>
      </c>
      <c r="S251" s="17" t="e">
        <v>#N/A</v>
      </c>
      <c r="T251" s="17" t="e">
        <v>#N/A</v>
      </c>
      <c r="U251" s="18"/>
      <c r="V251" s="18"/>
      <c r="W251" s="18" t="e">
        <v>#N/A</v>
      </c>
      <c r="X251" s="19"/>
      <c r="Y251" s="19"/>
      <c r="Z251" s="19"/>
      <c r="AA251" s="19"/>
    </row>
    <row r="252" spans="1:27" ht="14.25" customHeight="1" x14ac:dyDescent="0.3">
      <c r="A252" s="11">
        <v>251</v>
      </c>
      <c r="B252" s="11" t="s">
        <v>87</v>
      </c>
      <c r="C252" s="11" t="s">
        <v>23</v>
      </c>
      <c r="D252" s="10">
        <v>124</v>
      </c>
      <c r="E252" s="10">
        <v>11</v>
      </c>
      <c r="F252" s="10">
        <v>96230</v>
      </c>
      <c r="G252" s="11" t="s">
        <v>109</v>
      </c>
      <c r="H252" s="10">
        <v>442</v>
      </c>
      <c r="I252" s="10">
        <v>107895</v>
      </c>
      <c r="J252" s="10">
        <v>24505923</v>
      </c>
      <c r="K252" s="11"/>
      <c r="L252" s="30"/>
      <c r="M252" s="13">
        <f>+_xlfn.XLOOKUP(D252&amp;"-"&amp;E252,'[1]Listado Lotes'!$K$3:$K$385,'[1]Listado Lotes'!$E$3:$E$385)</f>
        <v>398.26</v>
      </c>
      <c r="N252" s="28" t="s">
        <v>233</v>
      </c>
      <c r="O252" s="14" t="e">
        <v>#N/A</v>
      </c>
      <c r="P252" s="15" t="e">
        <v>#N/A</v>
      </c>
      <c r="Q252" s="16" t="e">
        <v>#N/A</v>
      </c>
      <c r="R252" s="16" t="e">
        <v>#N/A</v>
      </c>
      <c r="S252" s="17" t="e">
        <v>#N/A</v>
      </c>
      <c r="T252" s="17" t="e">
        <v>#N/A</v>
      </c>
      <c r="U252" s="18"/>
      <c r="V252" s="18"/>
      <c r="W252" s="18" t="e">
        <v>#N/A</v>
      </c>
      <c r="X252" s="19"/>
      <c r="Y252" s="19"/>
      <c r="Z252" s="19"/>
      <c r="AA252" s="19"/>
    </row>
    <row r="253" spans="1:27" ht="14.25" customHeight="1" x14ac:dyDescent="0.3">
      <c r="A253" s="11">
        <v>252</v>
      </c>
      <c r="B253" s="11" t="s">
        <v>87</v>
      </c>
      <c r="C253" s="11" t="s">
        <v>23</v>
      </c>
      <c r="D253" s="10">
        <v>124</v>
      </c>
      <c r="E253" s="10">
        <v>12</v>
      </c>
      <c r="F253" s="10">
        <v>96231</v>
      </c>
      <c r="G253" s="11" t="s">
        <v>110</v>
      </c>
      <c r="H253" s="10">
        <v>442</v>
      </c>
      <c r="I253" s="10">
        <v>107896</v>
      </c>
      <c r="J253" s="10">
        <v>24505933</v>
      </c>
      <c r="K253" s="11"/>
      <c r="L253" s="30"/>
      <c r="M253" s="13">
        <f>+_xlfn.XLOOKUP(D253&amp;"-"&amp;E253,'[1]Listado Lotes'!$K$3:$K$385,'[1]Listado Lotes'!$E$3:$E$385)</f>
        <v>398.26</v>
      </c>
      <c r="N253" s="28" t="s">
        <v>233</v>
      </c>
      <c r="O253" s="14" t="e">
        <v>#N/A</v>
      </c>
      <c r="P253" s="15" t="e">
        <v>#N/A</v>
      </c>
      <c r="Q253" s="16" t="e">
        <v>#N/A</v>
      </c>
      <c r="R253" s="16" t="e">
        <v>#N/A</v>
      </c>
      <c r="S253" s="17" t="e">
        <v>#N/A</v>
      </c>
      <c r="T253" s="17" t="e">
        <v>#N/A</v>
      </c>
      <c r="U253" s="18"/>
      <c r="V253" s="18"/>
      <c r="W253" s="18" t="e">
        <v>#N/A</v>
      </c>
      <c r="X253" s="19"/>
      <c r="Y253" s="19"/>
      <c r="Z253" s="19"/>
      <c r="AA253" s="19"/>
    </row>
    <row r="254" spans="1:27" ht="14.25" customHeight="1" x14ac:dyDescent="0.3">
      <c r="A254" s="11">
        <v>253</v>
      </c>
      <c r="B254" s="11" t="s">
        <v>87</v>
      </c>
      <c r="C254" s="11" t="s">
        <v>23</v>
      </c>
      <c r="D254" s="10">
        <v>124</v>
      </c>
      <c r="E254" s="10">
        <v>13</v>
      </c>
      <c r="F254" s="10">
        <v>96232</v>
      </c>
      <c r="G254" s="11" t="s">
        <v>111</v>
      </c>
      <c r="H254" s="10">
        <v>442</v>
      </c>
      <c r="I254" s="10">
        <v>107897</v>
      </c>
      <c r="J254" s="10">
        <v>24505943</v>
      </c>
      <c r="K254" s="11"/>
      <c r="L254" s="30"/>
      <c r="M254" s="13">
        <f>+_xlfn.XLOOKUP(D254&amp;"-"&amp;E254,'[1]Listado Lotes'!$K$3:$K$385,'[1]Listado Lotes'!$E$3:$E$385)</f>
        <v>398.26</v>
      </c>
      <c r="N254" s="28" t="s">
        <v>233</v>
      </c>
      <c r="O254" s="14" t="e">
        <v>#N/A</v>
      </c>
      <c r="P254" s="15" t="e">
        <v>#N/A</v>
      </c>
      <c r="Q254" s="16" t="e">
        <v>#N/A</v>
      </c>
      <c r="R254" s="16" t="e">
        <v>#N/A</v>
      </c>
      <c r="S254" s="17" t="e">
        <v>#N/A</v>
      </c>
      <c r="T254" s="17" t="e">
        <v>#N/A</v>
      </c>
      <c r="U254" s="18"/>
      <c r="V254" s="18"/>
      <c r="W254" s="18" t="e">
        <v>#N/A</v>
      </c>
      <c r="X254" s="19"/>
      <c r="Y254" s="19"/>
      <c r="Z254" s="19"/>
      <c r="AA254" s="19"/>
    </row>
    <row r="255" spans="1:27" ht="14.25" customHeight="1" x14ac:dyDescent="0.3">
      <c r="A255" s="11">
        <v>254</v>
      </c>
      <c r="B255" s="11" t="s">
        <v>87</v>
      </c>
      <c r="C255" s="11" t="s">
        <v>23</v>
      </c>
      <c r="D255" s="10">
        <v>124</v>
      </c>
      <c r="E255" s="10">
        <v>14</v>
      </c>
      <c r="F255" s="10">
        <v>96233</v>
      </c>
      <c r="G255" s="11" t="s">
        <v>112</v>
      </c>
      <c r="H255" s="10">
        <v>442</v>
      </c>
      <c r="I255" s="10">
        <v>107898</v>
      </c>
      <c r="J255" s="10">
        <v>24505947</v>
      </c>
      <c r="K255" s="11"/>
      <c r="L255" s="30"/>
      <c r="M255" s="13">
        <f>+_xlfn.XLOOKUP(D255&amp;"-"&amp;E255,'[1]Listado Lotes'!$K$3:$K$385,'[1]Listado Lotes'!$E$3:$E$385)</f>
        <v>398.26</v>
      </c>
      <c r="N255" s="28" t="s">
        <v>233</v>
      </c>
      <c r="O255" s="14" t="e">
        <v>#N/A</v>
      </c>
      <c r="P255" s="15" t="e">
        <v>#N/A</v>
      </c>
      <c r="Q255" s="16" t="e">
        <v>#N/A</v>
      </c>
      <c r="R255" s="16" t="e">
        <v>#N/A</v>
      </c>
      <c r="S255" s="17" t="e">
        <v>#N/A</v>
      </c>
      <c r="T255" s="17" t="e">
        <v>#N/A</v>
      </c>
      <c r="U255" s="18"/>
      <c r="V255" s="18"/>
      <c r="W255" s="18" t="e">
        <v>#N/A</v>
      </c>
      <c r="X255" s="19"/>
      <c r="Y255" s="19"/>
      <c r="Z255" s="19"/>
      <c r="AA255" s="19"/>
    </row>
    <row r="256" spans="1:27" ht="14.25" customHeight="1" x14ac:dyDescent="0.3">
      <c r="A256" s="11">
        <v>255</v>
      </c>
      <c r="B256" s="11" t="s">
        <v>87</v>
      </c>
      <c r="C256" s="11" t="s">
        <v>23</v>
      </c>
      <c r="D256" s="10">
        <v>124</v>
      </c>
      <c r="E256" s="10">
        <v>15</v>
      </c>
      <c r="F256" s="10">
        <v>96234</v>
      </c>
      <c r="G256" s="11" t="s">
        <v>113</v>
      </c>
      <c r="H256" s="10">
        <v>442</v>
      </c>
      <c r="I256" s="10">
        <v>107899</v>
      </c>
      <c r="J256" s="10">
        <v>24505959</v>
      </c>
      <c r="K256" s="11"/>
      <c r="L256" s="30"/>
      <c r="M256" s="13">
        <f>+_xlfn.XLOOKUP(D256&amp;"-"&amp;E256,'[1]Listado Lotes'!$K$3:$K$385,'[1]Listado Lotes'!$E$3:$E$385)</f>
        <v>398.26</v>
      </c>
      <c r="N256" s="28" t="s">
        <v>233</v>
      </c>
      <c r="O256" s="14" t="e">
        <v>#N/A</v>
      </c>
      <c r="P256" s="15" t="e">
        <v>#N/A</v>
      </c>
      <c r="Q256" s="16" t="e">
        <v>#N/A</v>
      </c>
      <c r="R256" s="16" t="e">
        <v>#N/A</v>
      </c>
      <c r="S256" s="17" t="e">
        <v>#N/A</v>
      </c>
      <c r="T256" s="17" t="e">
        <v>#N/A</v>
      </c>
      <c r="U256" s="18"/>
      <c r="V256" s="18"/>
      <c r="W256" s="18" t="e">
        <v>#N/A</v>
      </c>
      <c r="X256" s="19"/>
      <c r="Y256" s="19"/>
      <c r="Z256" s="19"/>
      <c r="AA256" s="19"/>
    </row>
    <row r="257" spans="1:27" ht="14.25" customHeight="1" x14ac:dyDescent="0.3">
      <c r="A257" s="11">
        <v>256</v>
      </c>
      <c r="B257" s="11" t="s">
        <v>87</v>
      </c>
      <c r="C257" s="11" t="s">
        <v>23</v>
      </c>
      <c r="D257" s="10">
        <v>124</v>
      </c>
      <c r="E257" s="11" t="s">
        <v>114</v>
      </c>
      <c r="F257" s="10">
        <v>96235</v>
      </c>
      <c r="G257" s="11" t="s">
        <v>115</v>
      </c>
      <c r="H257" s="10">
        <v>442</v>
      </c>
      <c r="I257" s="10">
        <v>107900</v>
      </c>
      <c r="J257" s="10">
        <v>24505985</v>
      </c>
      <c r="K257" s="11"/>
      <c r="L257" s="30"/>
      <c r="M257" s="13">
        <v>251</v>
      </c>
      <c r="N257" s="28" t="s">
        <v>233</v>
      </c>
      <c r="O257" s="14" t="e">
        <v>#N/A</v>
      </c>
      <c r="P257" s="15" t="e">
        <v>#N/A</v>
      </c>
      <c r="Q257" s="16" t="e">
        <v>#N/A</v>
      </c>
      <c r="R257" s="16" t="e">
        <v>#N/A</v>
      </c>
      <c r="S257" s="17" t="e">
        <v>#N/A</v>
      </c>
      <c r="T257" s="17" t="e">
        <v>#N/A</v>
      </c>
      <c r="U257" s="18"/>
      <c r="V257" s="18"/>
      <c r="W257" s="18" t="e">
        <v>#N/A</v>
      </c>
      <c r="X257" s="19"/>
      <c r="Y257" s="19"/>
      <c r="Z257" s="19"/>
      <c r="AA257" s="19"/>
    </row>
    <row r="258" spans="1:27" ht="14.25" customHeight="1" x14ac:dyDescent="0.3">
      <c r="A258" s="11">
        <v>257</v>
      </c>
      <c r="B258" s="11" t="s">
        <v>87</v>
      </c>
      <c r="C258" s="11" t="s">
        <v>23</v>
      </c>
      <c r="D258" s="10">
        <v>124</v>
      </c>
      <c r="E258" s="11" t="s">
        <v>116</v>
      </c>
      <c r="F258" s="10">
        <v>96236</v>
      </c>
      <c r="G258" s="11" t="s">
        <v>117</v>
      </c>
      <c r="H258" s="10">
        <v>442</v>
      </c>
      <c r="I258" s="10">
        <v>107901</v>
      </c>
      <c r="J258" s="10">
        <v>24505998</v>
      </c>
      <c r="K258" s="11"/>
      <c r="L258" s="30"/>
      <c r="M258" s="13">
        <v>252</v>
      </c>
      <c r="N258" s="28" t="s">
        <v>233</v>
      </c>
      <c r="O258" s="14" t="e">
        <v>#N/A</v>
      </c>
      <c r="P258" s="15" t="e">
        <v>#N/A</v>
      </c>
      <c r="Q258" s="16" t="e">
        <v>#N/A</v>
      </c>
      <c r="R258" s="16" t="e">
        <v>#N/A</v>
      </c>
      <c r="S258" s="17" t="e">
        <v>#N/A</v>
      </c>
      <c r="T258" s="17" t="e">
        <v>#N/A</v>
      </c>
      <c r="U258" s="18"/>
      <c r="V258" s="18"/>
      <c r="W258" s="18" t="e">
        <v>#N/A</v>
      </c>
      <c r="X258" s="19"/>
      <c r="Y258" s="19"/>
      <c r="Z258" s="19"/>
      <c r="AA258" s="19"/>
    </row>
    <row r="259" spans="1:27" ht="14.25" customHeight="1" x14ac:dyDescent="0.3">
      <c r="A259" s="11">
        <v>258</v>
      </c>
      <c r="B259" s="11" t="s">
        <v>87</v>
      </c>
      <c r="C259" s="11" t="s">
        <v>23</v>
      </c>
      <c r="D259" s="10">
        <v>124</v>
      </c>
      <c r="E259" s="11" t="s">
        <v>118</v>
      </c>
      <c r="F259" s="10">
        <v>96237</v>
      </c>
      <c r="G259" s="11" t="s">
        <v>119</v>
      </c>
      <c r="H259" s="10">
        <v>442</v>
      </c>
      <c r="I259" s="10">
        <v>107903</v>
      </c>
      <c r="J259" s="10">
        <v>24506003</v>
      </c>
      <c r="K259" s="11"/>
      <c r="L259" s="30"/>
      <c r="M259" s="13">
        <v>250</v>
      </c>
      <c r="N259" s="28" t="s">
        <v>233</v>
      </c>
      <c r="O259" s="14" t="e">
        <v>#N/A</v>
      </c>
      <c r="P259" s="15" t="e">
        <v>#N/A</v>
      </c>
      <c r="Q259" s="16" t="e">
        <v>#N/A</v>
      </c>
      <c r="R259" s="16" t="e">
        <v>#N/A</v>
      </c>
      <c r="S259" s="17" t="e">
        <v>#N/A</v>
      </c>
      <c r="T259" s="17" t="e">
        <v>#N/A</v>
      </c>
      <c r="U259" s="18"/>
      <c r="V259" s="18"/>
      <c r="W259" s="18" t="e">
        <v>#N/A</v>
      </c>
      <c r="X259" s="19"/>
      <c r="Y259" s="19"/>
      <c r="Z259" s="19"/>
      <c r="AA259" s="19"/>
    </row>
    <row r="260" spans="1:27" ht="14.25" customHeight="1" x14ac:dyDescent="0.3">
      <c r="A260" s="11">
        <v>259</v>
      </c>
      <c r="B260" s="11" t="s">
        <v>87</v>
      </c>
      <c r="C260" s="11" t="s">
        <v>23</v>
      </c>
      <c r="D260" s="10">
        <v>124</v>
      </c>
      <c r="E260" s="11" t="s">
        <v>120</v>
      </c>
      <c r="F260" s="10">
        <v>96238</v>
      </c>
      <c r="G260" s="11" t="s">
        <v>121</v>
      </c>
      <c r="H260" s="10">
        <v>442</v>
      </c>
      <c r="I260" s="10">
        <v>107904</v>
      </c>
      <c r="J260" s="10">
        <v>24506007</v>
      </c>
      <c r="K260" s="11"/>
      <c r="L260" s="30"/>
      <c r="M260" s="13">
        <v>247</v>
      </c>
      <c r="N260" s="28" t="s">
        <v>233</v>
      </c>
      <c r="O260" s="14" t="e">
        <v>#N/A</v>
      </c>
      <c r="P260" s="15" t="e">
        <v>#N/A</v>
      </c>
      <c r="Q260" s="16" t="e">
        <v>#N/A</v>
      </c>
      <c r="R260" s="16" t="e">
        <v>#N/A</v>
      </c>
      <c r="S260" s="17" t="e">
        <v>#N/A</v>
      </c>
      <c r="T260" s="17" t="e">
        <v>#N/A</v>
      </c>
      <c r="U260" s="18"/>
      <c r="V260" s="18"/>
      <c r="W260" s="18" t="e">
        <v>#N/A</v>
      </c>
      <c r="X260" s="19"/>
      <c r="Y260" s="19"/>
      <c r="Z260" s="19"/>
      <c r="AA260" s="19"/>
    </row>
    <row r="261" spans="1:27" ht="14.25" customHeight="1" x14ac:dyDescent="0.3">
      <c r="A261" s="11">
        <v>260</v>
      </c>
      <c r="B261" s="11" t="s">
        <v>87</v>
      </c>
      <c r="C261" s="11" t="s">
        <v>23</v>
      </c>
      <c r="D261" s="10">
        <v>124</v>
      </c>
      <c r="E261" s="11" t="s">
        <v>122</v>
      </c>
      <c r="F261" s="10">
        <v>96238</v>
      </c>
      <c r="G261" s="11" t="s">
        <v>123</v>
      </c>
      <c r="H261" s="10">
        <v>442</v>
      </c>
      <c r="I261" s="10">
        <v>107905</v>
      </c>
      <c r="J261" s="10">
        <v>24506053</v>
      </c>
      <c r="K261" s="11"/>
      <c r="L261" s="30"/>
      <c r="M261" s="13">
        <v>244</v>
      </c>
      <c r="N261" s="28" t="s">
        <v>233</v>
      </c>
      <c r="O261" s="14" t="e">
        <v>#N/A</v>
      </c>
      <c r="P261" s="15" t="e">
        <v>#N/A</v>
      </c>
      <c r="Q261" s="16" t="e">
        <v>#N/A</v>
      </c>
      <c r="R261" s="16" t="e">
        <v>#N/A</v>
      </c>
      <c r="S261" s="17" t="e">
        <v>#N/A</v>
      </c>
      <c r="T261" s="17" t="e">
        <v>#N/A</v>
      </c>
      <c r="U261" s="18"/>
      <c r="V261" s="18"/>
      <c r="W261" s="18" t="e">
        <v>#N/A</v>
      </c>
      <c r="X261" s="19"/>
      <c r="Y261" s="19"/>
      <c r="Z261" s="19"/>
      <c r="AA261" s="19"/>
    </row>
    <row r="262" spans="1:27" ht="14.25" customHeight="1" x14ac:dyDescent="0.3">
      <c r="A262" s="11">
        <v>261</v>
      </c>
      <c r="B262" s="11" t="s">
        <v>87</v>
      </c>
      <c r="C262" s="11" t="s">
        <v>23</v>
      </c>
      <c r="D262" s="10">
        <v>124</v>
      </c>
      <c r="E262" s="11" t="s">
        <v>124</v>
      </c>
      <c r="F262" s="10">
        <v>96240</v>
      </c>
      <c r="G262" s="11" t="s">
        <v>125</v>
      </c>
      <c r="H262" s="10">
        <v>442</v>
      </c>
      <c r="I262" s="10">
        <v>107906</v>
      </c>
      <c r="J262" s="10">
        <v>24506058</v>
      </c>
      <c r="K262" s="11"/>
      <c r="L262" s="30"/>
      <c r="M262" s="13">
        <v>241</v>
      </c>
      <c r="N262" s="28" t="s">
        <v>233</v>
      </c>
      <c r="O262" s="14" t="e">
        <v>#N/A</v>
      </c>
      <c r="P262" s="15" t="e">
        <v>#N/A</v>
      </c>
      <c r="Q262" s="16" t="e">
        <v>#N/A</v>
      </c>
      <c r="R262" s="16" t="e">
        <v>#N/A</v>
      </c>
      <c r="S262" s="17" t="e">
        <v>#N/A</v>
      </c>
      <c r="T262" s="17" t="e">
        <v>#N/A</v>
      </c>
      <c r="U262" s="18"/>
      <c r="V262" s="18"/>
      <c r="W262" s="18" t="e">
        <v>#N/A</v>
      </c>
      <c r="X262" s="19"/>
      <c r="Y262" s="19"/>
      <c r="Z262" s="19"/>
      <c r="AA262" s="19"/>
    </row>
    <row r="263" spans="1:27" ht="14.25" customHeight="1" x14ac:dyDescent="0.3">
      <c r="A263" s="11">
        <v>262</v>
      </c>
      <c r="B263" s="11" t="s">
        <v>87</v>
      </c>
      <c r="C263" s="11" t="s">
        <v>23</v>
      </c>
      <c r="D263" s="10">
        <v>124</v>
      </c>
      <c r="E263" s="11" t="s">
        <v>126</v>
      </c>
      <c r="F263" s="10">
        <v>96241</v>
      </c>
      <c r="G263" s="11" t="s">
        <v>127</v>
      </c>
      <c r="H263" s="10">
        <v>442</v>
      </c>
      <c r="I263" s="10">
        <v>107907</v>
      </c>
      <c r="J263" s="10">
        <v>24506061</v>
      </c>
      <c r="K263" s="11"/>
      <c r="L263" s="30"/>
      <c r="M263" s="13">
        <v>240</v>
      </c>
      <c r="N263" s="28" t="s">
        <v>233</v>
      </c>
      <c r="O263" s="14" t="e">
        <v>#N/A</v>
      </c>
      <c r="P263" s="15" t="e">
        <v>#N/A</v>
      </c>
      <c r="Q263" s="16" t="e">
        <v>#N/A</v>
      </c>
      <c r="R263" s="16" t="e">
        <v>#N/A</v>
      </c>
      <c r="S263" s="17" t="e">
        <v>#N/A</v>
      </c>
      <c r="T263" s="17" t="e">
        <v>#N/A</v>
      </c>
      <c r="U263" s="18"/>
      <c r="V263" s="18"/>
      <c r="W263" s="18" t="e">
        <v>#N/A</v>
      </c>
      <c r="X263" s="19"/>
      <c r="Y263" s="19"/>
      <c r="Z263" s="19"/>
      <c r="AA263" s="19"/>
    </row>
    <row r="264" spans="1:27" ht="14.25" customHeight="1" x14ac:dyDescent="0.3">
      <c r="A264" s="11">
        <v>263</v>
      </c>
      <c r="B264" s="11" t="s">
        <v>87</v>
      </c>
      <c r="C264" s="11" t="s">
        <v>23</v>
      </c>
      <c r="D264" s="10">
        <v>124</v>
      </c>
      <c r="E264" s="11" t="s">
        <v>128</v>
      </c>
      <c r="F264" s="10">
        <v>96242</v>
      </c>
      <c r="G264" s="11" t="s">
        <v>129</v>
      </c>
      <c r="H264" s="10">
        <v>442</v>
      </c>
      <c r="I264" s="10">
        <v>107908</v>
      </c>
      <c r="J264" s="10">
        <v>24506066</v>
      </c>
      <c r="K264" s="11"/>
      <c r="L264" s="30"/>
      <c r="M264" s="13">
        <v>229</v>
      </c>
      <c r="N264" s="28" t="s">
        <v>233</v>
      </c>
      <c r="O264" s="14" t="e">
        <v>#N/A</v>
      </c>
      <c r="P264" s="15" t="e">
        <v>#N/A</v>
      </c>
      <c r="Q264" s="16" t="e">
        <v>#N/A</v>
      </c>
      <c r="R264" s="16" t="e">
        <v>#N/A</v>
      </c>
      <c r="S264" s="17" t="e">
        <v>#N/A</v>
      </c>
      <c r="T264" s="17" t="e">
        <v>#N/A</v>
      </c>
      <c r="U264" s="18"/>
      <c r="V264" s="18"/>
      <c r="W264" s="18" t="e">
        <v>#N/A</v>
      </c>
      <c r="X264" s="19"/>
      <c r="Y264" s="19"/>
      <c r="Z264" s="19"/>
      <c r="AA264" s="19"/>
    </row>
    <row r="265" spans="1:27" ht="14.25" customHeight="1" x14ac:dyDescent="0.3">
      <c r="A265" s="11">
        <v>264</v>
      </c>
      <c r="B265" s="11" t="s">
        <v>87</v>
      </c>
      <c r="C265" s="11" t="s">
        <v>23</v>
      </c>
      <c r="D265" s="10">
        <v>124</v>
      </c>
      <c r="E265" s="10">
        <v>24</v>
      </c>
      <c r="F265" s="10">
        <v>96243</v>
      </c>
      <c r="G265" s="11" t="s">
        <v>130</v>
      </c>
      <c r="H265" s="10">
        <v>442</v>
      </c>
      <c r="I265" s="10">
        <v>107910</v>
      </c>
      <c r="J265" s="10">
        <v>24506071</v>
      </c>
      <c r="K265" s="11"/>
      <c r="L265" s="30"/>
      <c r="M265" s="13">
        <f>+_xlfn.XLOOKUP(D265&amp;"-"&amp;E265,'[1]Listado Lotes'!$K$3:$K$385,'[1]Listado Lotes'!$E$3:$E$385)</f>
        <v>399.15</v>
      </c>
      <c r="N265" s="28" t="s">
        <v>233</v>
      </c>
      <c r="O265" s="14" t="e">
        <v>#N/A</v>
      </c>
      <c r="P265" s="15" t="e">
        <v>#N/A</v>
      </c>
      <c r="Q265" s="16" t="e">
        <v>#N/A</v>
      </c>
      <c r="R265" s="16" t="e">
        <v>#N/A</v>
      </c>
      <c r="S265" s="17" t="e">
        <v>#N/A</v>
      </c>
      <c r="T265" s="17" t="e">
        <v>#N/A</v>
      </c>
      <c r="U265" s="18"/>
      <c r="V265" s="18"/>
      <c r="W265" s="18" t="e">
        <v>#N/A</v>
      </c>
      <c r="X265" s="19"/>
      <c r="Y265" s="19"/>
      <c r="Z265" s="19"/>
      <c r="AA265" s="19"/>
    </row>
    <row r="266" spans="1:27" ht="14.25" customHeight="1" x14ac:dyDescent="0.3">
      <c r="A266" s="11">
        <v>265</v>
      </c>
      <c r="B266" s="11" t="s">
        <v>87</v>
      </c>
      <c r="C266" s="11" t="s">
        <v>23</v>
      </c>
      <c r="D266" s="10">
        <v>124</v>
      </c>
      <c r="E266" s="10">
        <v>25</v>
      </c>
      <c r="F266" s="10">
        <v>96244</v>
      </c>
      <c r="G266" s="11" t="s">
        <v>131</v>
      </c>
      <c r="H266" s="10">
        <v>442</v>
      </c>
      <c r="I266" s="10">
        <v>107911</v>
      </c>
      <c r="J266" s="10">
        <v>24506076</v>
      </c>
      <c r="K266" s="11"/>
      <c r="L266" s="30"/>
      <c r="M266" s="13">
        <f>+_xlfn.XLOOKUP(D266&amp;"-"&amp;E266,'[1]Listado Lotes'!$K$3:$K$385,'[1]Listado Lotes'!$E$3:$E$385)</f>
        <v>399.15</v>
      </c>
      <c r="N266" s="28" t="s">
        <v>233</v>
      </c>
      <c r="O266" s="14" t="e">
        <v>#N/A</v>
      </c>
      <c r="P266" s="15" t="e">
        <v>#N/A</v>
      </c>
      <c r="Q266" s="16" t="e">
        <v>#N/A</v>
      </c>
      <c r="R266" s="16" t="e">
        <v>#N/A</v>
      </c>
      <c r="S266" s="17" t="e">
        <v>#N/A</v>
      </c>
      <c r="T266" s="17" t="e">
        <v>#N/A</v>
      </c>
      <c r="U266" s="18"/>
      <c r="V266" s="18"/>
      <c r="W266" s="18" t="e">
        <v>#N/A</v>
      </c>
      <c r="X266" s="19"/>
      <c r="Y266" s="19"/>
      <c r="Z266" s="19"/>
      <c r="AA266" s="19"/>
    </row>
    <row r="267" spans="1:27" ht="14.25" customHeight="1" x14ac:dyDescent="0.3">
      <c r="A267" s="11">
        <v>266</v>
      </c>
      <c r="B267" s="11" t="s">
        <v>87</v>
      </c>
      <c r="C267" s="11" t="s">
        <v>23</v>
      </c>
      <c r="D267" s="10">
        <v>124</v>
      </c>
      <c r="E267" s="10">
        <v>27</v>
      </c>
      <c r="F267" s="10">
        <v>96246</v>
      </c>
      <c r="G267" s="11" t="s">
        <v>132</v>
      </c>
      <c r="H267" s="10">
        <v>442</v>
      </c>
      <c r="I267" s="10">
        <v>107912</v>
      </c>
      <c r="J267" s="10">
        <v>24506086</v>
      </c>
      <c r="K267" s="11"/>
      <c r="L267" s="30"/>
      <c r="M267" s="13">
        <f>+_xlfn.XLOOKUP(D267&amp;"-"&amp;E267,'[1]Listado Lotes'!$K$3:$K$385,'[1]Listado Lotes'!$E$3:$E$385)</f>
        <v>399.15</v>
      </c>
      <c r="N267" s="28" t="s">
        <v>233</v>
      </c>
      <c r="O267" s="14" t="e">
        <v>#N/A</v>
      </c>
      <c r="P267" s="15" t="e">
        <v>#N/A</v>
      </c>
      <c r="Q267" s="16" t="e">
        <v>#N/A</v>
      </c>
      <c r="R267" s="16" t="e">
        <v>#N/A</v>
      </c>
      <c r="S267" s="17" t="e">
        <v>#N/A</v>
      </c>
      <c r="T267" s="17" t="e">
        <v>#N/A</v>
      </c>
      <c r="U267" s="18"/>
      <c r="V267" s="18"/>
      <c r="W267" s="18" t="e">
        <v>#N/A</v>
      </c>
      <c r="X267" s="19"/>
      <c r="Y267" s="19"/>
      <c r="Z267" s="19"/>
      <c r="AA267" s="19"/>
    </row>
    <row r="268" spans="1:27" ht="14.25" customHeight="1" x14ac:dyDescent="0.3">
      <c r="A268" s="11">
        <v>267</v>
      </c>
      <c r="B268" s="11" t="s">
        <v>87</v>
      </c>
      <c r="C268" s="11" t="s">
        <v>23</v>
      </c>
      <c r="D268" s="10">
        <v>124</v>
      </c>
      <c r="E268" s="10">
        <v>28</v>
      </c>
      <c r="F268" s="10">
        <v>96247</v>
      </c>
      <c r="G268" s="11" t="s">
        <v>133</v>
      </c>
      <c r="H268" s="10">
        <v>442</v>
      </c>
      <c r="I268" s="10">
        <v>107914</v>
      </c>
      <c r="J268" s="10">
        <v>24506107</v>
      </c>
      <c r="K268" s="11"/>
      <c r="L268" s="30"/>
      <c r="M268" s="13">
        <f>+_xlfn.XLOOKUP(D268&amp;"-"&amp;E268,'[1]Listado Lotes'!$K$3:$K$385,'[1]Listado Lotes'!$E$3:$E$385)</f>
        <v>399.15</v>
      </c>
      <c r="N268" s="28" t="s">
        <v>233</v>
      </c>
      <c r="O268" s="14" t="e">
        <v>#N/A</v>
      </c>
      <c r="P268" s="15" t="e">
        <v>#N/A</v>
      </c>
      <c r="Q268" s="16" t="e">
        <v>#N/A</v>
      </c>
      <c r="R268" s="16" t="e">
        <v>#N/A</v>
      </c>
      <c r="S268" s="17" t="e">
        <v>#N/A</v>
      </c>
      <c r="T268" s="17" t="e">
        <v>#N/A</v>
      </c>
      <c r="U268" s="18"/>
      <c r="V268" s="18"/>
      <c r="W268" s="18" t="e">
        <v>#N/A</v>
      </c>
      <c r="X268" s="19"/>
      <c r="Y268" s="19"/>
      <c r="Z268" s="19"/>
      <c r="AA268" s="19"/>
    </row>
    <row r="269" spans="1:27" ht="14.25" customHeight="1" x14ac:dyDescent="0.3">
      <c r="A269" s="11">
        <v>268</v>
      </c>
      <c r="B269" s="11" t="s">
        <v>87</v>
      </c>
      <c r="C269" s="11" t="s">
        <v>23</v>
      </c>
      <c r="D269" s="10">
        <v>124</v>
      </c>
      <c r="E269" s="10">
        <v>29</v>
      </c>
      <c r="F269" s="10">
        <v>96248</v>
      </c>
      <c r="G269" s="11" t="s">
        <v>134</v>
      </c>
      <c r="H269" s="10">
        <v>442</v>
      </c>
      <c r="I269" s="10">
        <v>107915</v>
      </c>
      <c r="J269" s="10">
        <v>24506173</v>
      </c>
      <c r="K269" s="11"/>
      <c r="L269" s="30"/>
      <c r="M269" s="13">
        <f>+_xlfn.XLOOKUP(D269&amp;"-"&amp;E269,'[1]Listado Lotes'!$K$3:$K$385,'[1]Listado Lotes'!$E$3:$E$385)</f>
        <v>399.15</v>
      </c>
      <c r="N269" s="28" t="s">
        <v>233</v>
      </c>
      <c r="O269" s="14" t="e">
        <v>#N/A</v>
      </c>
      <c r="P269" s="15" t="e">
        <v>#N/A</v>
      </c>
      <c r="Q269" s="16" t="e">
        <v>#N/A</v>
      </c>
      <c r="R269" s="16" t="e">
        <v>#N/A</v>
      </c>
      <c r="S269" s="17" t="e">
        <v>#N/A</v>
      </c>
      <c r="T269" s="17" t="e">
        <v>#N/A</v>
      </c>
      <c r="U269" s="18"/>
      <c r="V269" s="18"/>
      <c r="W269" s="18" t="e">
        <v>#N/A</v>
      </c>
      <c r="X269" s="19"/>
      <c r="Y269" s="19"/>
      <c r="Z269" s="19"/>
      <c r="AA269" s="19"/>
    </row>
    <row r="270" spans="1:27" ht="14.25" customHeight="1" x14ac:dyDescent="0.3">
      <c r="A270" s="11">
        <v>269</v>
      </c>
      <c r="B270" s="11" t="s">
        <v>87</v>
      </c>
      <c r="C270" s="11" t="s">
        <v>23</v>
      </c>
      <c r="D270" s="10">
        <v>124</v>
      </c>
      <c r="E270" s="10">
        <v>30</v>
      </c>
      <c r="F270" s="10">
        <v>96249</v>
      </c>
      <c r="G270" s="11" t="s">
        <v>135</v>
      </c>
      <c r="H270" s="10">
        <v>442</v>
      </c>
      <c r="I270" s="10">
        <v>107916</v>
      </c>
      <c r="J270" s="10">
        <v>24506186</v>
      </c>
      <c r="K270" s="11"/>
      <c r="L270" s="30"/>
      <c r="M270" s="13">
        <f>+_xlfn.XLOOKUP(D270&amp;"-"&amp;E270,'[1]Listado Lotes'!$K$3:$K$385,'[1]Listado Lotes'!$E$3:$E$385)</f>
        <v>399.15</v>
      </c>
      <c r="N270" s="28" t="s">
        <v>233</v>
      </c>
      <c r="O270" s="14" t="e">
        <v>#N/A</v>
      </c>
      <c r="P270" s="15" t="e">
        <v>#N/A</v>
      </c>
      <c r="Q270" s="16" t="e">
        <v>#N/A</v>
      </c>
      <c r="R270" s="16" t="e">
        <v>#N/A</v>
      </c>
      <c r="S270" s="17" t="e">
        <v>#N/A</v>
      </c>
      <c r="T270" s="17" t="e">
        <v>#N/A</v>
      </c>
      <c r="U270" s="18"/>
      <c r="V270" s="18"/>
      <c r="W270" s="18" t="e">
        <v>#N/A</v>
      </c>
      <c r="X270" s="19"/>
      <c r="Y270" s="19"/>
      <c r="Z270" s="19"/>
      <c r="AA270" s="19"/>
    </row>
    <row r="271" spans="1:27" ht="14.25" customHeight="1" x14ac:dyDescent="0.3">
      <c r="A271" s="11">
        <v>270</v>
      </c>
      <c r="B271" s="11" t="s">
        <v>87</v>
      </c>
      <c r="C271" s="11" t="s">
        <v>23</v>
      </c>
      <c r="D271" s="10">
        <v>125</v>
      </c>
      <c r="E271" s="10">
        <v>1</v>
      </c>
      <c r="F271" s="10">
        <v>67428</v>
      </c>
      <c r="G271" s="10">
        <v>6678</v>
      </c>
      <c r="H271" s="10">
        <v>442</v>
      </c>
      <c r="I271" s="10">
        <v>107917</v>
      </c>
      <c r="J271" s="10">
        <v>24506277</v>
      </c>
      <c r="K271" s="11" t="s">
        <v>136</v>
      </c>
      <c r="L271" s="30"/>
      <c r="M271" s="13">
        <f>+_xlfn.XLOOKUP(D271&amp;"-"&amp;E271,'[1]Listado Lotes'!$K$3:$K$385,'[1]Listado Lotes'!$E$3:$E$385)</f>
        <v>229.5</v>
      </c>
      <c r="N271" s="28" t="s">
        <v>233</v>
      </c>
      <c r="O271" s="14" t="e">
        <v>#N/A</v>
      </c>
      <c r="P271" s="15" t="e">
        <v>#N/A</v>
      </c>
      <c r="Q271" s="16" t="e">
        <v>#N/A</v>
      </c>
      <c r="R271" s="16" t="e">
        <v>#N/A</v>
      </c>
      <c r="S271" s="17" t="e">
        <v>#N/A</v>
      </c>
      <c r="T271" s="17" t="e">
        <v>#N/A</v>
      </c>
      <c r="U271" s="18"/>
      <c r="V271" s="18"/>
      <c r="W271" s="18" t="e">
        <v>#N/A</v>
      </c>
      <c r="X271" s="19"/>
      <c r="Y271" s="19"/>
      <c r="Z271" s="19"/>
      <c r="AA271" s="19"/>
    </row>
    <row r="272" spans="1:27" ht="14.25" customHeight="1" x14ac:dyDescent="0.3">
      <c r="A272" s="11">
        <v>271</v>
      </c>
      <c r="B272" s="11" t="s">
        <v>87</v>
      </c>
      <c r="C272" s="11" t="s">
        <v>23</v>
      </c>
      <c r="D272" s="10">
        <v>125</v>
      </c>
      <c r="E272" s="10">
        <v>2</v>
      </c>
      <c r="F272" s="10">
        <v>124604</v>
      </c>
      <c r="G272" s="11" t="s">
        <v>137</v>
      </c>
      <c r="H272" s="10">
        <v>442</v>
      </c>
      <c r="I272" s="10">
        <v>107919</v>
      </c>
      <c r="J272" s="10">
        <v>24506286</v>
      </c>
      <c r="K272" s="11"/>
      <c r="L272" s="30"/>
      <c r="M272" s="13">
        <f>+_xlfn.XLOOKUP(D272&amp;"-"&amp;E272,'[1]Listado Lotes'!$K$3:$K$385,'[1]Listado Lotes'!$E$3:$E$385)</f>
        <v>233.98</v>
      </c>
      <c r="N272" s="28" t="s">
        <v>233</v>
      </c>
      <c r="O272" s="14" t="e">
        <v>#N/A</v>
      </c>
      <c r="P272" s="15" t="e">
        <v>#N/A</v>
      </c>
      <c r="Q272" s="16" t="e">
        <v>#N/A</v>
      </c>
      <c r="R272" s="16" t="e">
        <v>#N/A</v>
      </c>
      <c r="S272" s="17" t="e">
        <v>#N/A</v>
      </c>
      <c r="T272" s="17" t="e">
        <v>#N/A</v>
      </c>
      <c r="U272" s="18"/>
      <c r="V272" s="18"/>
      <c r="W272" s="18" t="e">
        <v>#N/A</v>
      </c>
      <c r="X272" s="19"/>
      <c r="Y272" s="19"/>
      <c r="Z272" s="19"/>
      <c r="AA272" s="19"/>
    </row>
    <row r="273" spans="1:27" ht="14.25" customHeight="1" x14ac:dyDescent="0.3">
      <c r="A273" s="11">
        <v>272</v>
      </c>
      <c r="B273" s="11" t="s">
        <v>87</v>
      </c>
      <c r="C273" s="11" t="s">
        <v>23</v>
      </c>
      <c r="D273" s="10">
        <v>125</v>
      </c>
      <c r="E273" s="10">
        <v>3</v>
      </c>
      <c r="F273" s="10">
        <v>124605</v>
      </c>
      <c r="G273" s="11" t="s">
        <v>138</v>
      </c>
      <c r="H273" s="10">
        <v>442</v>
      </c>
      <c r="I273" s="10">
        <v>107920</v>
      </c>
      <c r="J273" s="10">
        <v>24506295</v>
      </c>
      <c r="K273" s="11"/>
      <c r="L273" s="30"/>
      <c r="M273" s="13">
        <f>+_xlfn.XLOOKUP(D273&amp;"-"&amp;E273,'[1]Listado Lotes'!$K$3:$K$385,'[1]Listado Lotes'!$E$3:$E$385)</f>
        <v>233.98</v>
      </c>
      <c r="N273" s="28" t="s">
        <v>233</v>
      </c>
      <c r="O273" s="14" t="e">
        <v>#N/A</v>
      </c>
      <c r="P273" s="15" t="e">
        <v>#N/A</v>
      </c>
      <c r="Q273" s="16" t="e">
        <v>#N/A</v>
      </c>
      <c r="R273" s="16" t="e">
        <v>#N/A</v>
      </c>
      <c r="S273" s="17" t="e">
        <v>#N/A</v>
      </c>
      <c r="T273" s="17" t="e">
        <v>#N/A</v>
      </c>
      <c r="U273" s="18"/>
      <c r="V273" s="18"/>
      <c r="W273" s="18" t="e">
        <v>#N/A</v>
      </c>
      <c r="X273" s="19"/>
      <c r="Y273" s="19"/>
      <c r="Z273" s="19"/>
      <c r="AA273" s="19"/>
    </row>
    <row r="274" spans="1:27" ht="14.25" customHeight="1" x14ac:dyDescent="0.3">
      <c r="A274" s="11">
        <v>273</v>
      </c>
      <c r="B274" s="11" t="s">
        <v>87</v>
      </c>
      <c r="C274" s="11" t="s">
        <v>23</v>
      </c>
      <c r="D274" s="10">
        <v>125</v>
      </c>
      <c r="E274" s="10">
        <v>4</v>
      </c>
      <c r="F274" s="10">
        <v>124606</v>
      </c>
      <c r="G274" s="11" t="s">
        <v>139</v>
      </c>
      <c r="H274" s="10">
        <v>442</v>
      </c>
      <c r="I274" s="10">
        <v>107921</v>
      </c>
      <c r="J274" s="10">
        <v>24506310</v>
      </c>
      <c r="K274" s="11"/>
      <c r="L274" s="30"/>
      <c r="M274" s="13">
        <f>+_xlfn.XLOOKUP(D274&amp;"-"&amp;E274,'[1]Listado Lotes'!$K$3:$K$385,'[1]Listado Lotes'!$E$3:$E$385)</f>
        <v>233.98</v>
      </c>
      <c r="N274" s="28" t="s">
        <v>233</v>
      </c>
      <c r="O274" s="14" t="e">
        <v>#N/A</v>
      </c>
      <c r="P274" s="15" t="e">
        <v>#N/A</v>
      </c>
      <c r="Q274" s="16" t="e">
        <v>#N/A</v>
      </c>
      <c r="R274" s="16" t="e">
        <v>#N/A</v>
      </c>
      <c r="S274" s="17" t="e">
        <v>#N/A</v>
      </c>
      <c r="T274" s="17" t="e">
        <v>#N/A</v>
      </c>
      <c r="U274" s="18"/>
      <c r="V274" s="18"/>
      <c r="W274" s="18" t="e">
        <v>#N/A</v>
      </c>
      <c r="X274" s="19"/>
      <c r="Y274" s="19"/>
      <c r="Z274" s="19"/>
      <c r="AA274" s="19"/>
    </row>
    <row r="275" spans="1:27" ht="14.25" customHeight="1" x14ac:dyDescent="0.3">
      <c r="A275" s="11">
        <v>274</v>
      </c>
      <c r="B275" s="11" t="s">
        <v>87</v>
      </c>
      <c r="C275" s="11" t="s">
        <v>23</v>
      </c>
      <c r="D275" s="10">
        <v>125</v>
      </c>
      <c r="E275" s="10">
        <v>5</v>
      </c>
      <c r="F275" s="10">
        <v>124607</v>
      </c>
      <c r="G275" s="11" t="s">
        <v>140</v>
      </c>
      <c r="H275" s="10">
        <v>442</v>
      </c>
      <c r="I275" s="10">
        <v>107923</v>
      </c>
      <c r="J275" s="10">
        <v>24506318</v>
      </c>
      <c r="K275" s="11"/>
      <c r="L275" s="30"/>
      <c r="M275" s="13">
        <f>+_xlfn.XLOOKUP(D275&amp;"-"&amp;E275,'[1]Listado Lotes'!$K$3:$K$385,'[1]Listado Lotes'!$E$3:$E$385)</f>
        <v>233.98</v>
      </c>
      <c r="N275" s="28" t="s">
        <v>233</v>
      </c>
      <c r="O275" s="14" t="e">
        <v>#N/A</v>
      </c>
      <c r="P275" s="15" t="e">
        <v>#N/A</v>
      </c>
      <c r="Q275" s="16" t="e">
        <v>#N/A</v>
      </c>
      <c r="R275" s="16" t="e">
        <v>#N/A</v>
      </c>
      <c r="S275" s="17" t="e">
        <v>#N/A</v>
      </c>
      <c r="T275" s="17" t="e">
        <v>#N/A</v>
      </c>
      <c r="U275" s="18"/>
      <c r="V275" s="18"/>
      <c r="W275" s="18" t="e">
        <v>#N/A</v>
      </c>
      <c r="X275" s="19"/>
      <c r="Y275" s="19"/>
      <c r="Z275" s="19"/>
      <c r="AA275" s="19"/>
    </row>
    <row r="276" spans="1:27" ht="14.25" customHeight="1" x14ac:dyDescent="0.3">
      <c r="A276" s="11">
        <v>275</v>
      </c>
      <c r="B276" s="11" t="s">
        <v>87</v>
      </c>
      <c r="C276" s="11" t="s">
        <v>23</v>
      </c>
      <c r="D276" s="10">
        <v>125</v>
      </c>
      <c r="E276" s="10">
        <v>6</v>
      </c>
      <c r="F276" s="10">
        <v>124608</v>
      </c>
      <c r="G276" s="11" t="s">
        <v>141</v>
      </c>
      <c r="H276" s="10">
        <v>442</v>
      </c>
      <c r="I276" s="10">
        <v>107924</v>
      </c>
      <c r="J276" s="10">
        <v>24506325</v>
      </c>
      <c r="K276" s="11"/>
      <c r="L276" s="30"/>
      <c r="M276" s="13">
        <f>+_xlfn.XLOOKUP(D276&amp;"-"&amp;E276,'[1]Listado Lotes'!$K$3:$K$385,'[1]Listado Lotes'!$E$3:$E$385)</f>
        <v>229.5</v>
      </c>
      <c r="N276" s="28" t="s">
        <v>233</v>
      </c>
      <c r="O276" s="14" t="e">
        <v>#N/A</v>
      </c>
      <c r="P276" s="15" t="e">
        <v>#N/A</v>
      </c>
      <c r="Q276" s="16" t="e">
        <v>#N/A</v>
      </c>
      <c r="R276" s="16" t="e">
        <v>#N/A</v>
      </c>
      <c r="S276" s="17" t="e">
        <v>#N/A</v>
      </c>
      <c r="T276" s="17" t="e">
        <v>#N/A</v>
      </c>
      <c r="U276" s="18"/>
      <c r="V276" s="18"/>
      <c r="W276" s="18" t="e">
        <v>#N/A</v>
      </c>
      <c r="X276" s="19"/>
      <c r="Y276" s="19"/>
      <c r="Z276" s="19"/>
      <c r="AA276" s="19"/>
    </row>
    <row r="277" spans="1:27" ht="14.25" customHeight="1" x14ac:dyDescent="0.3">
      <c r="A277" s="11">
        <v>276</v>
      </c>
      <c r="B277" s="11" t="s">
        <v>87</v>
      </c>
      <c r="C277" s="11" t="s">
        <v>23</v>
      </c>
      <c r="D277" s="10">
        <v>125</v>
      </c>
      <c r="E277" s="10">
        <v>7</v>
      </c>
      <c r="F277" s="10">
        <v>124609</v>
      </c>
      <c r="G277" s="11" t="s">
        <v>142</v>
      </c>
      <c r="H277" s="10">
        <v>442</v>
      </c>
      <c r="I277" s="10">
        <v>107925</v>
      </c>
      <c r="J277" s="10">
        <v>24506331</v>
      </c>
      <c r="K277" s="11"/>
      <c r="L277" s="30"/>
      <c r="M277" s="13">
        <f>+_xlfn.XLOOKUP(D277&amp;"-"&amp;E277,'[1]Listado Lotes'!$K$3:$K$385,'[1]Listado Lotes'!$E$3:$E$385)</f>
        <v>298.69</v>
      </c>
      <c r="N277" s="28" t="s">
        <v>233</v>
      </c>
      <c r="O277" s="14" t="e">
        <v>#N/A</v>
      </c>
      <c r="P277" s="15" t="e">
        <v>#N/A</v>
      </c>
      <c r="Q277" s="16" t="e">
        <v>#N/A</v>
      </c>
      <c r="R277" s="16" t="e">
        <v>#N/A</v>
      </c>
      <c r="S277" s="17" t="e">
        <v>#N/A</v>
      </c>
      <c r="T277" s="17" t="e">
        <v>#N/A</v>
      </c>
      <c r="U277" s="18"/>
      <c r="V277" s="18"/>
      <c r="W277" s="18" t="e">
        <v>#N/A</v>
      </c>
      <c r="X277" s="19"/>
      <c r="Y277" s="19"/>
      <c r="Z277" s="19"/>
      <c r="AA277" s="19"/>
    </row>
    <row r="278" spans="1:27" ht="14.25" customHeight="1" x14ac:dyDescent="0.3">
      <c r="A278" s="11">
        <v>277</v>
      </c>
      <c r="B278" s="11" t="s">
        <v>87</v>
      </c>
      <c r="C278" s="11" t="s">
        <v>23</v>
      </c>
      <c r="D278" s="10">
        <v>125</v>
      </c>
      <c r="E278" s="10">
        <v>8</v>
      </c>
      <c r="F278" s="10">
        <v>124610</v>
      </c>
      <c r="G278" s="11" t="s">
        <v>143</v>
      </c>
      <c r="H278" s="10">
        <v>442</v>
      </c>
      <c r="I278" s="10">
        <v>107926</v>
      </c>
      <c r="J278" s="10">
        <v>24506342</v>
      </c>
      <c r="K278" s="11"/>
      <c r="L278" s="30"/>
      <c r="M278" s="13">
        <f>+_xlfn.XLOOKUP(D278&amp;"-"&amp;E278,'[1]Listado Lotes'!$K$3:$K$385,'[1]Listado Lotes'!$E$3:$E$385)</f>
        <v>298.69</v>
      </c>
      <c r="N278" s="28" t="s">
        <v>233</v>
      </c>
      <c r="O278" s="14" t="e">
        <v>#N/A</v>
      </c>
      <c r="P278" s="15" t="e">
        <v>#N/A</v>
      </c>
      <c r="Q278" s="16" t="e">
        <v>#N/A</v>
      </c>
      <c r="R278" s="16" t="e">
        <v>#N/A</v>
      </c>
      <c r="S278" s="17" t="e">
        <v>#N/A</v>
      </c>
      <c r="T278" s="17" t="e">
        <v>#N/A</v>
      </c>
      <c r="U278" s="18"/>
      <c r="V278" s="18"/>
      <c r="W278" s="18" t="e">
        <v>#N/A</v>
      </c>
      <c r="X278" s="19"/>
      <c r="Y278" s="19"/>
      <c r="Z278" s="19"/>
      <c r="AA278" s="19"/>
    </row>
    <row r="279" spans="1:27" ht="14.25" customHeight="1" x14ac:dyDescent="0.3">
      <c r="A279" s="11">
        <v>278</v>
      </c>
      <c r="B279" s="11" t="s">
        <v>87</v>
      </c>
      <c r="C279" s="11" t="s">
        <v>23</v>
      </c>
      <c r="D279" s="10">
        <v>125</v>
      </c>
      <c r="E279" s="10">
        <v>9</v>
      </c>
      <c r="F279" s="10">
        <v>124611</v>
      </c>
      <c r="G279" s="11" t="s">
        <v>144</v>
      </c>
      <c r="H279" s="10">
        <v>442</v>
      </c>
      <c r="I279" s="10">
        <v>108011</v>
      </c>
      <c r="J279" s="10">
        <v>24506345</v>
      </c>
      <c r="K279" s="11"/>
      <c r="L279" s="30"/>
      <c r="M279" s="13">
        <f>+_xlfn.XLOOKUP(D279&amp;"-"&amp;E279,'[1]Listado Lotes'!$K$3:$K$385,'[1]Listado Lotes'!$E$3:$E$385)</f>
        <v>298.69</v>
      </c>
      <c r="N279" s="28" t="s">
        <v>233</v>
      </c>
      <c r="O279" s="14" t="e">
        <v>#N/A</v>
      </c>
      <c r="P279" s="15" t="e">
        <v>#N/A</v>
      </c>
      <c r="Q279" s="16" t="e">
        <v>#N/A</v>
      </c>
      <c r="R279" s="16" t="e">
        <v>#N/A</v>
      </c>
      <c r="S279" s="17" t="e">
        <v>#N/A</v>
      </c>
      <c r="T279" s="17" t="e">
        <v>#N/A</v>
      </c>
      <c r="U279" s="18"/>
      <c r="V279" s="18"/>
      <c r="W279" s="18" t="e">
        <v>#N/A</v>
      </c>
      <c r="X279" s="19"/>
      <c r="Y279" s="19"/>
      <c r="Z279" s="19"/>
      <c r="AA279" s="19"/>
    </row>
    <row r="280" spans="1:27" ht="14.25" customHeight="1" x14ac:dyDescent="0.3">
      <c r="A280" s="11">
        <v>279</v>
      </c>
      <c r="B280" s="11" t="s">
        <v>87</v>
      </c>
      <c r="C280" s="11" t="s">
        <v>23</v>
      </c>
      <c r="D280" s="10">
        <v>125</v>
      </c>
      <c r="E280" s="10">
        <v>10</v>
      </c>
      <c r="F280" s="10">
        <v>124612</v>
      </c>
      <c r="G280" s="11" t="s">
        <v>145</v>
      </c>
      <c r="H280" s="10">
        <v>442</v>
      </c>
      <c r="I280" s="10">
        <v>108012</v>
      </c>
      <c r="J280" s="10">
        <v>24506426</v>
      </c>
      <c r="K280" s="11"/>
      <c r="L280" s="30"/>
      <c r="M280" s="13">
        <f>+_xlfn.XLOOKUP(D280&amp;"-"&amp;E280,'[1]Listado Lotes'!$K$3:$K$385,'[1]Listado Lotes'!$E$3:$E$385)</f>
        <v>298.69</v>
      </c>
      <c r="N280" s="28" t="s">
        <v>233</v>
      </c>
      <c r="O280" s="14" t="e">
        <v>#N/A</v>
      </c>
      <c r="P280" s="15" t="e">
        <v>#N/A</v>
      </c>
      <c r="Q280" s="16" t="e">
        <v>#N/A</v>
      </c>
      <c r="R280" s="16" t="e">
        <v>#N/A</v>
      </c>
      <c r="S280" s="17" t="e">
        <v>#N/A</v>
      </c>
      <c r="T280" s="17" t="e">
        <v>#N/A</v>
      </c>
      <c r="U280" s="18"/>
      <c r="V280" s="18"/>
      <c r="W280" s="18" t="e">
        <v>#N/A</v>
      </c>
      <c r="X280" s="19"/>
      <c r="Y280" s="19"/>
      <c r="Z280" s="19"/>
      <c r="AA280" s="19"/>
    </row>
    <row r="281" spans="1:27" ht="14.25" customHeight="1" x14ac:dyDescent="0.3">
      <c r="A281" s="11">
        <v>280</v>
      </c>
      <c r="B281" s="11" t="s">
        <v>87</v>
      </c>
      <c r="C281" s="11" t="s">
        <v>23</v>
      </c>
      <c r="D281" s="10">
        <v>125</v>
      </c>
      <c r="E281" s="10">
        <v>11</v>
      </c>
      <c r="F281" s="10">
        <v>124613</v>
      </c>
      <c r="G281" s="11" t="s">
        <v>146</v>
      </c>
      <c r="H281" s="10">
        <v>442</v>
      </c>
      <c r="I281" s="10">
        <v>107927</v>
      </c>
      <c r="J281" s="10">
        <v>24506430</v>
      </c>
      <c r="K281" s="11"/>
      <c r="L281" s="30"/>
      <c r="M281" s="13">
        <f>+_xlfn.XLOOKUP(D281&amp;"-"&amp;E281,'[1]Listado Lotes'!$K$3:$K$385,'[1]Listado Lotes'!$E$3:$E$385)</f>
        <v>298.69</v>
      </c>
      <c r="N281" s="28" t="s">
        <v>233</v>
      </c>
      <c r="O281" s="14" t="e">
        <v>#N/A</v>
      </c>
      <c r="P281" s="15" t="e">
        <v>#N/A</v>
      </c>
      <c r="Q281" s="16" t="e">
        <v>#N/A</v>
      </c>
      <c r="R281" s="16" t="e">
        <v>#N/A</v>
      </c>
      <c r="S281" s="17" t="e">
        <v>#N/A</v>
      </c>
      <c r="T281" s="17" t="e">
        <v>#N/A</v>
      </c>
      <c r="U281" s="18"/>
      <c r="V281" s="18"/>
      <c r="W281" s="18" t="e">
        <v>#N/A</v>
      </c>
      <c r="X281" s="19"/>
      <c r="Y281" s="19"/>
      <c r="Z281" s="19"/>
      <c r="AA281" s="19"/>
    </row>
    <row r="282" spans="1:27" ht="14.25" customHeight="1" x14ac:dyDescent="0.3">
      <c r="A282" s="11">
        <v>281</v>
      </c>
      <c r="B282" s="11" t="s">
        <v>87</v>
      </c>
      <c r="C282" s="11" t="s">
        <v>23</v>
      </c>
      <c r="D282" s="10">
        <v>125</v>
      </c>
      <c r="E282" s="10">
        <v>12</v>
      </c>
      <c r="F282" s="10">
        <v>124614</v>
      </c>
      <c r="G282" s="11" t="s">
        <v>147</v>
      </c>
      <c r="H282" s="10">
        <v>442</v>
      </c>
      <c r="I282" s="10">
        <v>107928</v>
      </c>
      <c r="J282" s="10">
        <v>24506435</v>
      </c>
      <c r="K282" s="11"/>
      <c r="L282" s="30"/>
      <c r="M282" s="13">
        <f>+_xlfn.XLOOKUP(D282&amp;"-"&amp;E282,'[1]Listado Lotes'!$K$3:$K$385,'[1]Listado Lotes'!$E$3:$E$385)</f>
        <v>298.69</v>
      </c>
      <c r="N282" s="28" t="s">
        <v>233</v>
      </c>
      <c r="O282" s="14" t="e">
        <v>#N/A</v>
      </c>
      <c r="P282" s="15" t="e">
        <v>#N/A</v>
      </c>
      <c r="Q282" s="16" t="e">
        <v>#N/A</v>
      </c>
      <c r="R282" s="16" t="e">
        <v>#N/A</v>
      </c>
      <c r="S282" s="17" t="e">
        <v>#N/A</v>
      </c>
      <c r="T282" s="17" t="e">
        <v>#N/A</v>
      </c>
      <c r="U282" s="18"/>
      <c r="V282" s="18"/>
      <c r="W282" s="18" t="e">
        <v>#N/A</v>
      </c>
      <c r="X282" s="19"/>
      <c r="Y282" s="19"/>
      <c r="Z282" s="19"/>
      <c r="AA282" s="19"/>
    </row>
    <row r="283" spans="1:27" ht="14.25" customHeight="1" x14ac:dyDescent="0.3">
      <c r="A283" s="11">
        <v>282</v>
      </c>
      <c r="B283" s="11" t="s">
        <v>87</v>
      </c>
      <c r="C283" s="11" t="s">
        <v>23</v>
      </c>
      <c r="D283" s="10">
        <v>125</v>
      </c>
      <c r="E283" s="10">
        <v>13</v>
      </c>
      <c r="F283" s="10">
        <v>124615</v>
      </c>
      <c r="G283" s="11" t="s">
        <v>148</v>
      </c>
      <c r="H283" s="10">
        <v>442</v>
      </c>
      <c r="I283" s="10">
        <v>107929</v>
      </c>
      <c r="J283" s="10">
        <v>24506441</v>
      </c>
      <c r="K283" s="11"/>
      <c r="L283" s="30"/>
      <c r="M283" s="13">
        <f>+_xlfn.XLOOKUP(D283&amp;"-"&amp;E283,'[1]Listado Lotes'!$K$3:$K$385,'[1]Listado Lotes'!$E$3:$E$385)</f>
        <v>298.69</v>
      </c>
      <c r="N283" s="28" t="s">
        <v>233</v>
      </c>
      <c r="O283" s="14" t="e">
        <v>#N/A</v>
      </c>
      <c r="P283" s="15" t="e">
        <v>#N/A</v>
      </c>
      <c r="Q283" s="16" t="e">
        <v>#N/A</v>
      </c>
      <c r="R283" s="16" t="e">
        <v>#N/A</v>
      </c>
      <c r="S283" s="17" t="e">
        <v>#N/A</v>
      </c>
      <c r="T283" s="17" t="e">
        <v>#N/A</v>
      </c>
      <c r="U283" s="18"/>
      <c r="V283" s="18"/>
      <c r="W283" s="18" t="e">
        <v>#N/A</v>
      </c>
      <c r="X283" s="19"/>
      <c r="Y283" s="19"/>
      <c r="Z283" s="19"/>
      <c r="AA283" s="19"/>
    </row>
    <row r="284" spans="1:27" ht="14.25" customHeight="1" x14ac:dyDescent="0.3">
      <c r="A284" s="11">
        <v>283</v>
      </c>
      <c r="B284" s="11" t="s">
        <v>87</v>
      </c>
      <c r="C284" s="11" t="s">
        <v>23</v>
      </c>
      <c r="D284" s="10">
        <v>125</v>
      </c>
      <c r="E284" s="10">
        <v>14</v>
      </c>
      <c r="F284" s="10">
        <v>124616</v>
      </c>
      <c r="G284" s="11" t="s">
        <v>149</v>
      </c>
      <c r="H284" s="10">
        <v>442</v>
      </c>
      <c r="I284" s="10">
        <v>107930</v>
      </c>
      <c r="J284" s="10">
        <v>24506444</v>
      </c>
      <c r="K284" s="11"/>
      <c r="L284" s="30"/>
      <c r="M284" s="13">
        <f>+_xlfn.XLOOKUP(D284&amp;"-"&amp;E284,'[1]Listado Lotes'!$K$3:$K$385,'[1]Listado Lotes'!$E$3:$E$385)</f>
        <v>298.69</v>
      </c>
      <c r="N284" s="28" t="s">
        <v>233</v>
      </c>
      <c r="O284" s="14" t="e">
        <v>#N/A</v>
      </c>
      <c r="P284" s="15" t="e">
        <v>#N/A</v>
      </c>
      <c r="Q284" s="16" t="e">
        <v>#N/A</v>
      </c>
      <c r="R284" s="16" t="e">
        <v>#N/A</v>
      </c>
      <c r="S284" s="17" t="e">
        <v>#N/A</v>
      </c>
      <c r="T284" s="17" t="e">
        <v>#N/A</v>
      </c>
      <c r="U284" s="18"/>
      <c r="V284" s="18"/>
      <c r="W284" s="18" t="e">
        <v>#N/A</v>
      </c>
      <c r="X284" s="19"/>
      <c r="Y284" s="19"/>
      <c r="Z284" s="19"/>
      <c r="AA284" s="19"/>
    </row>
    <row r="285" spans="1:27" ht="14.25" customHeight="1" x14ac:dyDescent="0.3">
      <c r="A285" s="11">
        <v>284</v>
      </c>
      <c r="B285" s="11" t="s">
        <v>87</v>
      </c>
      <c r="C285" s="11" t="s">
        <v>23</v>
      </c>
      <c r="D285" s="10">
        <v>125</v>
      </c>
      <c r="E285" s="11" t="s">
        <v>150</v>
      </c>
      <c r="F285" s="10">
        <v>124617</v>
      </c>
      <c r="G285" s="11" t="s">
        <v>151</v>
      </c>
      <c r="H285" s="10">
        <v>442</v>
      </c>
      <c r="I285" s="10">
        <v>74974</v>
      </c>
      <c r="J285" s="10">
        <v>24506450</v>
      </c>
      <c r="K285" s="11"/>
      <c r="L285" s="30" t="s">
        <v>152</v>
      </c>
      <c r="M285" s="13">
        <v>270</v>
      </c>
      <c r="N285" s="28" t="s">
        <v>233</v>
      </c>
      <c r="O285" s="14" t="e">
        <v>#N/A</v>
      </c>
      <c r="P285" s="15" t="e">
        <v>#N/A</v>
      </c>
      <c r="Q285" s="16" t="e">
        <v>#N/A</v>
      </c>
      <c r="R285" s="16" t="e">
        <v>#N/A</v>
      </c>
      <c r="S285" s="17" t="e">
        <v>#N/A</v>
      </c>
      <c r="T285" s="17" t="e">
        <v>#N/A</v>
      </c>
      <c r="U285" s="18"/>
      <c r="V285" s="18"/>
      <c r="W285" s="18" t="e">
        <v>#N/A</v>
      </c>
      <c r="X285" s="19"/>
      <c r="Y285" s="19"/>
      <c r="Z285" s="19"/>
      <c r="AA285" s="19"/>
    </row>
    <row r="286" spans="1:27" ht="14.25" customHeight="1" x14ac:dyDescent="0.3">
      <c r="A286" s="11">
        <v>285</v>
      </c>
      <c r="B286" s="11" t="s">
        <v>87</v>
      </c>
      <c r="C286" s="11" t="s">
        <v>23</v>
      </c>
      <c r="D286" s="10">
        <v>125</v>
      </c>
      <c r="E286" s="11" t="s">
        <v>114</v>
      </c>
      <c r="F286" s="10">
        <v>124618</v>
      </c>
      <c r="G286" s="11" t="s">
        <v>153</v>
      </c>
      <c r="H286" s="10">
        <v>442</v>
      </c>
      <c r="I286" s="10">
        <v>74975</v>
      </c>
      <c r="J286" s="10">
        <v>24506457</v>
      </c>
      <c r="K286" s="11"/>
      <c r="L286" s="30" t="s">
        <v>152</v>
      </c>
      <c r="M286" s="13">
        <v>273</v>
      </c>
      <c r="N286" s="28" t="s">
        <v>233</v>
      </c>
      <c r="O286" s="14" t="e">
        <v>#N/A</v>
      </c>
      <c r="P286" s="15" t="e">
        <v>#N/A</v>
      </c>
      <c r="Q286" s="16" t="e">
        <v>#N/A</v>
      </c>
      <c r="R286" s="16" t="e">
        <v>#N/A</v>
      </c>
      <c r="S286" s="17" t="e">
        <v>#N/A</v>
      </c>
      <c r="T286" s="17" t="e">
        <v>#N/A</v>
      </c>
      <c r="U286" s="18"/>
      <c r="V286" s="18"/>
      <c r="W286" s="18" t="e">
        <v>#N/A</v>
      </c>
      <c r="X286" s="19"/>
      <c r="Y286" s="19"/>
      <c r="Z286" s="19"/>
      <c r="AA286" s="19"/>
    </row>
    <row r="287" spans="1:27" ht="14.25" customHeight="1" x14ac:dyDescent="0.3">
      <c r="A287" s="11">
        <v>286</v>
      </c>
      <c r="B287" s="11" t="s">
        <v>87</v>
      </c>
      <c r="C287" s="11" t="s">
        <v>23</v>
      </c>
      <c r="D287" s="10">
        <v>125</v>
      </c>
      <c r="E287" s="11" t="s">
        <v>116</v>
      </c>
      <c r="F287" s="10">
        <v>124619</v>
      </c>
      <c r="G287" s="11" t="s">
        <v>154</v>
      </c>
      <c r="H287" s="10">
        <v>442</v>
      </c>
      <c r="I287" s="10">
        <v>74976</v>
      </c>
      <c r="J287" s="10">
        <v>24506461</v>
      </c>
      <c r="K287" s="11"/>
      <c r="L287" s="30" t="s">
        <v>152</v>
      </c>
      <c r="M287" s="13">
        <v>270</v>
      </c>
      <c r="N287" s="28" t="s">
        <v>233</v>
      </c>
      <c r="O287" s="14" t="e">
        <v>#N/A</v>
      </c>
      <c r="P287" s="15" t="e">
        <v>#N/A</v>
      </c>
      <c r="Q287" s="16" t="e">
        <v>#N/A</v>
      </c>
      <c r="R287" s="16" t="e">
        <v>#N/A</v>
      </c>
      <c r="S287" s="17" t="e">
        <v>#N/A</v>
      </c>
      <c r="T287" s="17" t="e">
        <v>#N/A</v>
      </c>
      <c r="U287" s="18"/>
      <c r="V287" s="18"/>
      <c r="W287" s="18" t="e">
        <v>#N/A</v>
      </c>
      <c r="X287" s="19"/>
      <c r="Y287" s="19"/>
      <c r="Z287" s="19"/>
      <c r="AA287" s="19"/>
    </row>
    <row r="288" spans="1:27" ht="14.25" customHeight="1" x14ac:dyDescent="0.3">
      <c r="A288" s="11">
        <v>287</v>
      </c>
      <c r="B288" s="11" t="s">
        <v>87</v>
      </c>
      <c r="C288" s="11" t="s">
        <v>23</v>
      </c>
      <c r="D288" s="10">
        <v>125</v>
      </c>
      <c r="E288" s="11" t="s">
        <v>118</v>
      </c>
      <c r="F288" s="10">
        <v>124620</v>
      </c>
      <c r="G288" s="10">
        <v>44507</v>
      </c>
      <c r="H288" s="10">
        <v>442</v>
      </c>
      <c r="I288" s="10">
        <v>74977</v>
      </c>
      <c r="J288" s="10">
        <v>24506468</v>
      </c>
      <c r="K288" s="11"/>
      <c r="L288" s="30" t="s">
        <v>152</v>
      </c>
      <c r="M288" s="13">
        <v>267</v>
      </c>
      <c r="N288" s="28" t="s">
        <v>233</v>
      </c>
      <c r="O288" s="14" t="e">
        <v>#N/A</v>
      </c>
      <c r="P288" s="15" t="e">
        <v>#N/A</v>
      </c>
      <c r="Q288" s="16" t="e">
        <v>#N/A</v>
      </c>
      <c r="R288" s="16" t="e">
        <v>#N/A</v>
      </c>
      <c r="S288" s="17" t="e">
        <v>#N/A</v>
      </c>
      <c r="T288" s="17" t="e">
        <v>#N/A</v>
      </c>
      <c r="U288" s="18"/>
      <c r="V288" s="18"/>
      <c r="W288" s="18" t="e">
        <v>#N/A</v>
      </c>
      <c r="X288" s="19"/>
      <c r="Y288" s="19"/>
      <c r="Z288" s="19"/>
      <c r="AA288" s="19"/>
    </row>
    <row r="289" spans="1:27" ht="14.25" customHeight="1" x14ac:dyDescent="0.3">
      <c r="A289" s="11">
        <v>288</v>
      </c>
      <c r="B289" s="11" t="s">
        <v>87</v>
      </c>
      <c r="C289" s="11" t="s">
        <v>23</v>
      </c>
      <c r="D289" s="10">
        <v>125</v>
      </c>
      <c r="E289" s="11" t="s">
        <v>120</v>
      </c>
      <c r="F289" s="10">
        <v>124621</v>
      </c>
      <c r="G289" s="11" t="s">
        <v>155</v>
      </c>
      <c r="H289" s="10">
        <v>442</v>
      </c>
      <c r="I289" s="10">
        <v>74978</v>
      </c>
      <c r="J289" s="10">
        <v>24506474</v>
      </c>
      <c r="K289" s="11"/>
      <c r="L289" s="30" t="s">
        <v>152</v>
      </c>
      <c r="M289" s="13">
        <v>265</v>
      </c>
      <c r="N289" s="28" t="s">
        <v>233</v>
      </c>
      <c r="O289" s="14" t="e">
        <v>#N/A</v>
      </c>
      <c r="P289" s="15" t="e">
        <v>#N/A</v>
      </c>
      <c r="Q289" s="16" t="e">
        <v>#N/A</v>
      </c>
      <c r="R289" s="16" t="e">
        <v>#N/A</v>
      </c>
      <c r="S289" s="17" t="e">
        <v>#N/A</v>
      </c>
      <c r="T289" s="17" t="e">
        <v>#N/A</v>
      </c>
      <c r="U289" s="18"/>
      <c r="V289" s="18"/>
      <c r="W289" s="18" t="e">
        <v>#N/A</v>
      </c>
      <c r="X289" s="19"/>
      <c r="Y289" s="19"/>
      <c r="Z289" s="19"/>
      <c r="AA289" s="19"/>
    </row>
    <row r="290" spans="1:27" ht="14.25" customHeight="1" x14ac:dyDescent="0.3">
      <c r="A290" s="11">
        <v>289</v>
      </c>
      <c r="B290" s="11" t="s">
        <v>87</v>
      </c>
      <c r="C290" s="11" t="s">
        <v>23</v>
      </c>
      <c r="D290" s="10">
        <v>125</v>
      </c>
      <c r="E290" s="11" t="s">
        <v>122</v>
      </c>
      <c r="F290" s="10">
        <v>124622</v>
      </c>
      <c r="G290" s="10">
        <v>46509</v>
      </c>
      <c r="H290" s="10">
        <v>442</v>
      </c>
      <c r="I290" s="10">
        <v>74979</v>
      </c>
      <c r="J290" s="10">
        <v>24506476</v>
      </c>
      <c r="K290" s="11"/>
      <c r="L290" s="30" t="s">
        <v>152</v>
      </c>
      <c r="M290" s="13">
        <v>256</v>
      </c>
      <c r="N290" s="28" t="s">
        <v>233</v>
      </c>
      <c r="O290" s="14" t="e">
        <v>#N/A</v>
      </c>
      <c r="P290" s="15" t="e">
        <v>#N/A</v>
      </c>
      <c r="Q290" s="16" t="e">
        <v>#N/A</v>
      </c>
      <c r="R290" s="16" t="e">
        <v>#N/A</v>
      </c>
      <c r="S290" s="17" t="e">
        <v>#N/A</v>
      </c>
      <c r="T290" s="17" t="e">
        <v>#N/A</v>
      </c>
      <c r="U290" s="18"/>
      <c r="V290" s="18"/>
      <c r="W290" s="18" t="e">
        <v>#N/A</v>
      </c>
      <c r="X290" s="19"/>
      <c r="Y290" s="19"/>
      <c r="Z290" s="19"/>
      <c r="AA290" s="19"/>
    </row>
    <row r="291" spans="1:27" ht="14.25" customHeight="1" x14ac:dyDescent="0.3">
      <c r="A291" s="11">
        <v>290</v>
      </c>
      <c r="B291" s="11" t="s">
        <v>87</v>
      </c>
      <c r="C291" s="11" t="s">
        <v>23</v>
      </c>
      <c r="D291" s="10">
        <v>125</v>
      </c>
      <c r="E291" s="10">
        <v>21</v>
      </c>
      <c r="F291" s="10">
        <v>124623</v>
      </c>
      <c r="G291" s="11" t="s">
        <v>156</v>
      </c>
      <c r="H291" s="10">
        <v>442</v>
      </c>
      <c r="I291" s="10">
        <v>107931</v>
      </c>
      <c r="J291" s="10">
        <v>24506482</v>
      </c>
      <c r="K291" s="11"/>
      <c r="L291" s="30"/>
      <c r="M291" s="13">
        <f>+_xlfn.XLOOKUP(D291&amp;"-"&amp;E291,'[1]Listado Lotes'!$K$3:$K$385,'[1]Listado Lotes'!$E$3:$E$385)</f>
        <v>298.69</v>
      </c>
      <c r="N291" s="28" t="s">
        <v>233</v>
      </c>
      <c r="O291" s="14" t="e">
        <v>#N/A</v>
      </c>
      <c r="P291" s="15" t="e">
        <v>#N/A</v>
      </c>
      <c r="Q291" s="16" t="e">
        <v>#N/A</v>
      </c>
      <c r="R291" s="16" t="e">
        <v>#N/A</v>
      </c>
      <c r="S291" s="17" t="e">
        <v>#N/A</v>
      </c>
      <c r="T291" s="17" t="e">
        <v>#N/A</v>
      </c>
      <c r="U291" s="18"/>
      <c r="V291" s="18"/>
      <c r="W291" s="18" t="e">
        <v>#N/A</v>
      </c>
      <c r="X291" s="19"/>
      <c r="Y291" s="19"/>
      <c r="Z291" s="19"/>
      <c r="AA291" s="19"/>
    </row>
    <row r="292" spans="1:27" ht="14.25" customHeight="1" x14ac:dyDescent="0.3">
      <c r="A292" s="11">
        <v>291</v>
      </c>
      <c r="B292" s="11" t="s">
        <v>87</v>
      </c>
      <c r="C292" s="11" t="s">
        <v>23</v>
      </c>
      <c r="D292" s="10">
        <v>125</v>
      </c>
      <c r="E292" s="10">
        <v>22</v>
      </c>
      <c r="F292" s="10">
        <v>124624</v>
      </c>
      <c r="G292" s="11" t="s">
        <v>157</v>
      </c>
      <c r="H292" s="10">
        <v>442</v>
      </c>
      <c r="I292" s="10">
        <v>107932</v>
      </c>
      <c r="J292" s="10">
        <v>24506485</v>
      </c>
      <c r="K292" s="11"/>
      <c r="L292" s="30"/>
      <c r="M292" s="13">
        <f>+_xlfn.XLOOKUP(D292&amp;"-"&amp;E292,'[1]Listado Lotes'!$K$3:$K$385,'[1]Listado Lotes'!$E$3:$E$385)</f>
        <v>298.69</v>
      </c>
      <c r="N292" s="28" t="s">
        <v>233</v>
      </c>
      <c r="O292" s="14" t="e">
        <v>#N/A</v>
      </c>
      <c r="P292" s="15" t="e">
        <v>#N/A</v>
      </c>
      <c r="Q292" s="16" t="e">
        <v>#N/A</v>
      </c>
      <c r="R292" s="16" t="e">
        <v>#N/A</v>
      </c>
      <c r="S292" s="17" t="e">
        <v>#N/A</v>
      </c>
      <c r="T292" s="17" t="e">
        <v>#N/A</v>
      </c>
      <c r="U292" s="18"/>
      <c r="V292" s="18"/>
      <c r="W292" s="18" t="e">
        <v>#N/A</v>
      </c>
      <c r="X292" s="19"/>
      <c r="Y292" s="19"/>
      <c r="Z292" s="19"/>
      <c r="AA292" s="19"/>
    </row>
    <row r="293" spans="1:27" ht="14.25" customHeight="1" x14ac:dyDescent="0.3">
      <c r="A293" s="11">
        <v>292</v>
      </c>
      <c r="B293" s="11" t="s">
        <v>87</v>
      </c>
      <c r="C293" s="11" t="s">
        <v>23</v>
      </c>
      <c r="D293" s="10">
        <v>125</v>
      </c>
      <c r="E293" s="10">
        <v>23</v>
      </c>
      <c r="F293" s="10">
        <v>124625</v>
      </c>
      <c r="G293" s="11" t="s">
        <v>158</v>
      </c>
      <c r="H293" s="10">
        <v>442</v>
      </c>
      <c r="I293" s="10">
        <v>107933</v>
      </c>
      <c r="J293" s="10">
        <v>24506491</v>
      </c>
      <c r="K293" s="11"/>
      <c r="L293" s="30"/>
      <c r="M293" s="13">
        <f>+_xlfn.XLOOKUP(D293&amp;"-"&amp;E293,'[1]Listado Lotes'!$K$3:$K$385,'[1]Listado Lotes'!$E$3:$E$385)</f>
        <v>298.69</v>
      </c>
      <c r="N293" s="28" t="s">
        <v>233</v>
      </c>
      <c r="O293" s="14" t="e">
        <v>#N/A</v>
      </c>
      <c r="P293" s="15" t="e">
        <v>#N/A</v>
      </c>
      <c r="Q293" s="16" t="e">
        <v>#N/A</v>
      </c>
      <c r="R293" s="16" t="e">
        <v>#N/A</v>
      </c>
      <c r="S293" s="17" t="e">
        <v>#N/A</v>
      </c>
      <c r="T293" s="17" t="e">
        <v>#N/A</v>
      </c>
      <c r="U293" s="18"/>
      <c r="V293" s="18"/>
      <c r="W293" s="18" t="e">
        <v>#N/A</v>
      </c>
      <c r="X293" s="19"/>
      <c r="Y293" s="19"/>
      <c r="Z293" s="19"/>
      <c r="AA293" s="19"/>
    </row>
    <row r="294" spans="1:27" ht="14.25" customHeight="1" x14ac:dyDescent="0.3">
      <c r="A294" s="11">
        <v>293</v>
      </c>
      <c r="B294" s="11" t="s">
        <v>87</v>
      </c>
      <c r="C294" s="11" t="s">
        <v>23</v>
      </c>
      <c r="D294" s="10">
        <v>125</v>
      </c>
      <c r="E294" s="10">
        <v>24</v>
      </c>
      <c r="F294" s="10">
        <v>124626</v>
      </c>
      <c r="G294" s="11" t="s">
        <v>159</v>
      </c>
      <c r="H294" s="10">
        <v>442</v>
      </c>
      <c r="I294" s="10">
        <v>107934</v>
      </c>
      <c r="J294" s="10">
        <v>24506494</v>
      </c>
      <c r="K294" s="11"/>
      <c r="L294" s="30"/>
      <c r="M294" s="13">
        <f>+_xlfn.XLOOKUP(D294&amp;"-"&amp;E294,'[1]Listado Lotes'!$K$3:$K$385,'[1]Listado Lotes'!$E$3:$E$385)</f>
        <v>298.69</v>
      </c>
      <c r="N294" s="28" t="s">
        <v>233</v>
      </c>
      <c r="O294" s="14" t="e">
        <v>#N/A</v>
      </c>
      <c r="P294" s="15" t="e">
        <v>#N/A</v>
      </c>
      <c r="Q294" s="16" t="e">
        <v>#N/A</v>
      </c>
      <c r="R294" s="16" t="e">
        <v>#N/A</v>
      </c>
      <c r="S294" s="17" t="e">
        <v>#N/A</v>
      </c>
      <c r="T294" s="17" t="e">
        <v>#N/A</v>
      </c>
      <c r="U294" s="18"/>
      <c r="V294" s="18"/>
      <c r="W294" s="18" t="e">
        <v>#N/A</v>
      </c>
      <c r="X294" s="19"/>
      <c r="Y294" s="19"/>
      <c r="Z294" s="19"/>
      <c r="AA294" s="19"/>
    </row>
    <row r="295" spans="1:27" ht="14.25" customHeight="1" x14ac:dyDescent="0.3">
      <c r="A295" s="11">
        <v>294</v>
      </c>
      <c r="B295" s="11" t="s">
        <v>87</v>
      </c>
      <c r="C295" s="11" t="s">
        <v>23</v>
      </c>
      <c r="D295" s="10">
        <v>125</v>
      </c>
      <c r="E295" s="10">
        <v>25</v>
      </c>
      <c r="F295" s="10">
        <v>124627</v>
      </c>
      <c r="G295" s="11" t="s">
        <v>160</v>
      </c>
      <c r="H295" s="10">
        <v>442</v>
      </c>
      <c r="I295" s="10">
        <v>107935</v>
      </c>
      <c r="J295" s="10">
        <v>24506576</v>
      </c>
      <c r="K295" s="11"/>
      <c r="L295" s="30"/>
      <c r="M295" s="13">
        <f>+_xlfn.XLOOKUP(D295&amp;"-"&amp;E295,'[1]Listado Lotes'!$K$3:$K$385,'[1]Listado Lotes'!$E$3:$E$385)</f>
        <v>298.69</v>
      </c>
      <c r="N295" s="28" t="s">
        <v>233</v>
      </c>
      <c r="O295" s="14" t="e">
        <v>#N/A</v>
      </c>
      <c r="P295" s="15" t="e">
        <v>#N/A</v>
      </c>
      <c r="Q295" s="16" t="e">
        <v>#N/A</v>
      </c>
      <c r="R295" s="16" t="e">
        <v>#N/A</v>
      </c>
      <c r="S295" s="17" t="e">
        <v>#N/A</v>
      </c>
      <c r="T295" s="17" t="e">
        <v>#N/A</v>
      </c>
      <c r="U295" s="18"/>
      <c r="V295" s="18"/>
      <c r="W295" s="18" t="e">
        <v>#N/A</v>
      </c>
      <c r="X295" s="19"/>
      <c r="Y295" s="19"/>
      <c r="Z295" s="19"/>
      <c r="AA295" s="19"/>
    </row>
    <row r="296" spans="1:27" ht="14.25" customHeight="1" x14ac:dyDescent="0.3">
      <c r="A296" s="11">
        <v>295</v>
      </c>
      <c r="B296" s="11" t="s">
        <v>87</v>
      </c>
      <c r="C296" s="11" t="s">
        <v>23</v>
      </c>
      <c r="D296" s="10">
        <v>125</v>
      </c>
      <c r="E296" s="10">
        <v>26</v>
      </c>
      <c r="F296" s="10">
        <v>124628</v>
      </c>
      <c r="G296" s="11" t="s">
        <v>161</v>
      </c>
      <c r="H296" s="10">
        <v>442</v>
      </c>
      <c r="I296" s="10">
        <v>107936</v>
      </c>
      <c r="J296" s="10">
        <v>24506581</v>
      </c>
      <c r="K296" s="11"/>
      <c r="L296" s="30"/>
      <c r="M296" s="13">
        <f>+_xlfn.XLOOKUP(D296&amp;"-"&amp;E296,'[1]Listado Lotes'!$K$3:$K$385,'[1]Listado Lotes'!$E$3:$E$385)</f>
        <v>298.69</v>
      </c>
      <c r="N296" s="28" t="s">
        <v>233</v>
      </c>
      <c r="O296" s="14" t="e">
        <v>#N/A</v>
      </c>
      <c r="P296" s="15" t="e">
        <v>#N/A</v>
      </c>
      <c r="Q296" s="16" t="e">
        <v>#N/A</v>
      </c>
      <c r="R296" s="16" t="e">
        <v>#N/A</v>
      </c>
      <c r="S296" s="17" t="e">
        <v>#N/A</v>
      </c>
      <c r="T296" s="17" t="e">
        <v>#N/A</v>
      </c>
      <c r="U296" s="18"/>
      <c r="V296" s="18"/>
      <c r="W296" s="18" t="e">
        <v>#N/A</v>
      </c>
      <c r="X296" s="19"/>
      <c r="Y296" s="19"/>
      <c r="Z296" s="19"/>
      <c r="AA296" s="19"/>
    </row>
    <row r="297" spans="1:27" ht="14.25" customHeight="1" x14ac:dyDescent="0.3">
      <c r="A297" s="11">
        <v>296</v>
      </c>
      <c r="B297" s="11" t="s">
        <v>87</v>
      </c>
      <c r="C297" s="11" t="s">
        <v>23</v>
      </c>
      <c r="D297" s="10">
        <v>125</v>
      </c>
      <c r="E297" s="10">
        <v>27</v>
      </c>
      <c r="F297" s="10">
        <v>124629</v>
      </c>
      <c r="G297" s="11" t="s">
        <v>162</v>
      </c>
      <c r="H297" s="10">
        <v>442</v>
      </c>
      <c r="I297" s="10">
        <v>107937</v>
      </c>
      <c r="J297" s="10">
        <v>24506586</v>
      </c>
      <c r="K297" s="11"/>
      <c r="L297" s="30"/>
      <c r="M297" s="13">
        <f>+_xlfn.XLOOKUP(D297&amp;"-"&amp;E297,'[1]Listado Lotes'!$K$3:$K$385,'[1]Listado Lotes'!$E$3:$E$385)</f>
        <v>298.69</v>
      </c>
      <c r="N297" s="28" t="s">
        <v>233</v>
      </c>
      <c r="O297" s="14" t="e">
        <v>#N/A</v>
      </c>
      <c r="P297" s="15" t="e">
        <v>#N/A</v>
      </c>
      <c r="Q297" s="16" t="e">
        <v>#N/A</v>
      </c>
      <c r="R297" s="16" t="e">
        <v>#N/A</v>
      </c>
      <c r="S297" s="17" t="e">
        <v>#N/A</v>
      </c>
      <c r="T297" s="17" t="e">
        <v>#N/A</v>
      </c>
      <c r="U297" s="18"/>
      <c r="V297" s="18"/>
      <c r="W297" s="18" t="e">
        <v>#N/A</v>
      </c>
      <c r="X297" s="19"/>
      <c r="Y297" s="19"/>
      <c r="Z297" s="19"/>
      <c r="AA297" s="19"/>
    </row>
    <row r="298" spans="1:27" ht="14.25" customHeight="1" x14ac:dyDescent="0.3">
      <c r="A298" s="11">
        <v>297</v>
      </c>
      <c r="B298" s="11" t="s">
        <v>87</v>
      </c>
      <c r="C298" s="11" t="s">
        <v>23</v>
      </c>
      <c r="D298" s="10">
        <v>125</v>
      </c>
      <c r="E298" s="10">
        <v>28</v>
      </c>
      <c r="F298" s="10">
        <v>124630</v>
      </c>
      <c r="G298" s="11" t="s">
        <v>163</v>
      </c>
      <c r="H298" s="10">
        <v>442</v>
      </c>
      <c r="I298" s="10">
        <v>107938</v>
      </c>
      <c r="J298" s="10">
        <v>24506591</v>
      </c>
      <c r="K298" s="11"/>
      <c r="L298" s="30"/>
      <c r="M298" s="13">
        <f>+_xlfn.XLOOKUP(D298&amp;"-"&amp;E298,'[1]Listado Lotes'!$K$3:$K$385,'[1]Listado Lotes'!$E$3:$E$385)</f>
        <v>298.69</v>
      </c>
      <c r="N298" s="28" t="s">
        <v>233</v>
      </c>
      <c r="O298" s="14" t="e">
        <v>#N/A</v>
      </c>
      <c r="P298" s="15" t="e">
        <v>#N/A</v>
      </c>
      <c r="Q298" s="16" t="e">
        <v>#N/A</v>
      </c>
      <c r="R298" s="16" t="e">
        <v>#N/A</v>
      </c>
      <c r="S298" s="17" t="e">
        <v>#N/A</v>
      </c>
      <c r="T298" s="17" t="e">
        <v>#N/A</v>
      </c>
      <c r="U298" s="18"/>
      <c r="V298" s="18"/>
      <c r="W298" s="18" t="e">
        <v>#N/A</v>
      </c>
      <c r="X298" s="19"/>
      <c r="Y298" s="19"/>
      <c r="Z298" s="19"/>
      <c r="AA298" s="19"/>
    </row>
    <row r="299" spans="1:27" ht="14.25" customHeight="1" x14ac:dyDescent="0.3">
      <c r="A299" s="11">
        <v>298</v>
      </c>
      <c r="B299" s="11" t="s">
        <v>87</v>
      </c>
      <c r="C299" s="11" t="s">
        <v>23</v>
      </c>
      <c r="D299" s="10">
        <v>126</v>
      </c>
      <c r="E299" s="10">
        <v>1</v>
      </c>
      <c r="F299" s="10">
        <v>67429</v>
      </c>
      <c r="G299" s="11" t="s">
        <v>164</v>
      </c>
      <c r="H299" s="10">
        <v>804</v>
      </c>
      <c r="I299" s="10">
        <v>107939</v>
      </c>
      <c r="J299" s="10">
        <v>24492959</v>
      </c>
      <c r="K299" s="11" t="s">
        <v>165</v>
      </c>
      <c r="L299" s="30"/>
      <c r="M299" s="13">
        <f>+_xlfn.XLOOKUP(D299&amp;"-"&amp;E299,'[1]Listado Lotes'!$K$3:$K$385,'[1]Listado Lotes'!$E$3:$E$385)</f>
        <v>229.5</v>
      </c>
      <c r="N299" s="28" t="s">
        <v>233</v>
      </c>
      <c r="O299" s="14" t="e">
        <v>#N/A</v>
      </c>
      <c r="P299" s="15" t="e">
        <v>#N/A</v>
      </c>
      <c r="Q299" s="16" t="e">
        <v>#N/A</v>
      </c>
      <c r="R299" s="16" t="e">
        <v>#N/A</v>
      </c>
      <c r="S299" s="17" t="e">
        <v>#N/A</v>
      </c>
      <c r="T299" s="17" t="e">
        <v>#N/A</v>
      </c>
      <c r="U299" s="18"/>
      <c r="V299" s="18"/>
      <c r="W299" s="18" t="e">
        <v>#N/A</v>
      </c>
      <c r="X299" s="19"/>
      <c r="Y299" s="19"/>
      <c r="Z299" s="19"/>
      <c r="AA299" s="19"/>
    </row>
    <row r="300" spans="1:27" ht="14.25" customHeight="1" x14ac:dyDescent="0.3">
      <c r="A300" s="11">
        <v>299</v>
      </c>
      <c r="B300" s="11" t="s">
        <v>87</v>
      </c>
      <c r="C300" s="11" t="s">
        <v>23</v>
      </c>
      <c r="D300" s="10">
        <v>126</v>
      </c>
      <c r="E300" s="10">
        <v>2</v>
      </c>
      <c r="F300" s="10">
        <v>124631</v>
      </c>
      <c r="G300" s="11" t="s">
        <v>166</v>
      </c>
      <c r="H300" s="10">
        <v>804</v>
      </c>
      <c r="I300" s="10">
        <v>107940</v>
      </c>
      <c r="J300" s="10">
        <v>24492965</v>
      </c>
      <c r="K300" s="11"/>
      <c r="L300" s="30"/>
      <c r="M300" s="13">
        <f>+_xlfn.XLOOKUP(D300&amp;"-"&amp;E300,'[1]Listado Lotes'!$K$3:$K$385,'[1]Listado Lotes'!$E$3:$E$385)</f>
        <v>233.98</v>
      </c>
      <c r="N300" s="28" t="s">
        <v>233</v>
      </c>
      <c r="O300" s="14" t="e">
        <v>#N/A</v>
      </c>
      <c r="P300" s="15" t="e">
        <v>#N/A</v>
      </c>
      <c r="Q300" s="16" t="e">
        <v>#N/A</v>
      </c>
      <c r="R300" s="16" t="e">
        <v>#N/A</v>
      </c>
      <c r="S300" s="17" t="e">
        <v>#N/A</v>
      </c>
      <c r="T300" s="17" t="e">
        <v>#N/A</v>
      </c>
      <c r="U300" s="18"/>
      <c r="V300" s="18"/>
      <c r="W300" s="18" t="e">
        <v>#N/A</v>
      </c>
      <c r="X300" s="19"/>
      <c r="Y300" s="19"/>
      <c r="Z300" s="19"/>
      <c r="AA300" s="19"/>
    </row>
    <row r="301" spans="1:27" ht="14.25" customHeight="1" x14ac:dyDescent="0.3">
      <c r="A301" s="11">
        <v>300</v>
      </c>
      <c r="B301" s="11" t="s">
        <v>87</v>
      </c>
      <c r="C301" s="11" t="s">
        <v>23</v>
      </c>
      <c r="D301" s="10">
        <v>126</v>
      </c>
      <c r="E301" s="10">
        <v>3</v>
      </c>
      <c r="F301" s="10">
        <v>124632</v>
      </c>
      <c r="G301" s="11" t="s">
        <v>167</v>
      </c>
      <c r="H301" s="10">
        <v>804</v>
      </c>
      <c r="I301" s="10">
        <v>107941</v>
      </c>
      <c r="J301" s="10">
        <v>24492973</v>
      </c>
      <c r="K301" s="11"/>
      <c r="L301" s="30"/>
      <c r="M301" s="13">
        <f>+_xlfn.XLOOKUP(D301&amp;"-"&amp;E301,'[1]Listado Lotes'!$K$3:$K$385,'[1]Listado Lotes'!$E$3:$E$385)</f>
        <v>233.98</v>
      </c>
      <c r="N301" s="28" t="s">
        <v>233</v>
      </c>
      <c r="O301" s="14" t="e">
        <v>#N/A</v>
      </c>
      <c r="P301" s="15" t="e">
        <v>#N/A</v>
      </c>
      <c r="Q301" s="16" t="e">
        <v>#N/A</v>
      </c>
      <c r="R301" s="16" t="e">
        <v>#N/A</v>
      </c>
      <c r="S301" s="17" t="e">
        <v>#N/A</v>
      </c>
      <c r="T301" s="17" t="e">
        <v>#N/A</v>
      </c>
      <c r="U301" s="18"/>
      <c r="V301" s="18"/>
      <c r="W301" s="18" t="e">
        <v>#N/A</v>
      </c>
      <c r="X301" s="19"/>
      <c r="Y301" s="19"/>
      <c r="Z301" s="19"/>
      <c r="AA301" s="19"/>
    </row>
    <row r="302" spans="1:27" ht="14.25" customHeight="1" x14ac:dyDescent="0.3">
      <c r="A302" s="11">
        <v>301</v>
      </c>
      <c r="B302" s="11" t="s">
        <v>87</v>
      </c>
      <c r="C302" s="11" t="s">
        <v>23</v>
      </c>
      <c r="D302" s="10">
        <v>126</v>
      </c>
      <c r="E302" s="10">
        <v>4</v>
      </c>
      <c r="F302" s="10">
        <v>124633</v>
      </c>
      <c r="G302" s="11" t="s">
        <v>168</v>
      </c>
      <c r="H302" s="10">
        <v>804</v>
      </c>
      <c r="I302" s="10">
        <v>107942</v>
      </c>
      <c r="J302" s="10">
        <v>24492982</v>
      </c>
      <c r="K302" s="11"/>
      <c r="L302" s="30"/>
      <c r="M302" s="13">
        <f>+_xlfn.XLOOKUP(D302&amp;"-"&amp;E302,'[1]Listado Lotes'!$K$3:$K$385,'[1]Listado Lotes'!$E$3:$E$385)</f>
        <v>233.98</v>
      </c>
      <c r="N302" s="28" t="s">
        <v>233</v>
      </c>
      <c r="O302" s="14" t="e">
        <v>#N/A</v>
      </c>
      <c r="P302" s="15" t="e">
        <v>#N/A</v>
      </c>
      <c r="Q302" s="16" t="e">
        <v>#N/A</v>
      </c>
      <c r="R302" s="16" t="e">
        <v>#N/A</v>
      </c>
      <c r="S302" s="17" t="e">
        <v>#N/A</v>
      </c>
      <c r="T302" s="17" t="e">
        <v>#N/A</v>
      </c>
      <c r="U302" s="18"/>
      <c r="V302" s="18"/>
      <c r="W302" s="18" t="e">
        <v>#N/A</v>
      </c>
      <c r="X302" s="19"/>
      <c r="Y302" s="19"/>
      <c r="Z302" s="19"/>
      <c r="AA302" s="19"/>
    </row>
    <row r="303" spans="1:27" ht="14.25" customHeight="1" x14ac:dyDescent="0.3">
      <c r="A303" s="11">
        <v>302</v>
      </c>
      <c r="B303" s="11" t="s">
        <v>87</v>
      </c>
      <c r="C303" s="11" t="s">
        <v>23</v>
      </c>
      <c r="D303" s="10">
        <v>126</v>
      </c>
      <c r="E303" s="10">
        <v>5</v>
      </c>
      <c r="F303" s="10">
        <v>124634</v>
      </c>
      <c r="G303" s="11" t="s">
        <v>169</v>
      </c>
      <c r="H303" s="10">
        <v>804</v>
      </c>
      <c r="I303" s="10">
        <v>107943</v>
      </c>
      <c r="J303" s="10">
        <v>24492986</v>
      </c>
      <c r="K303" s="11"/>
      <c r="L303" s="30"/>
      <c r="M303" s="13">
        <f>+_xlfn.XLOOKUP(D303&amp;"-"&amp;E303,'[1]Listado Lotes'!$K$3:$K$385,'[1]Listado Lotes'!$E$3:$E$385)</f>
        <v>233.98</v>
      </c>
      <c r="N303" s="28" t="s">
        <v>233</v>
      </c>
      <c r="O303" s="14" t="e">
        <v>#N/A</v>
      </c>
      <c r="P303" s="15" t="e">
        <v>#N/A</v>
      </c>
      <c r="Q303" s="16" t="e">
        <v>#N/A</v>
      </c>
      <c r="R303" s="16" t="e">
        <v>#N/A</v>
      </c>
      <c r="S303" s="17" t="e">
        <v>#N/A</v>
      </c>
      <c r="T303" s="17" t="e">
        <v>#N/A</v>
      </c>
      <c r="U303" s="18"/>
      <c r="V303" s="18"/>
      <c r="W303" s="18" t="e">
        <v>#N/A</v>
      </c>
      <c r="X303" s="19"/>
      <c r="Y303" s="19"/>
      <c r="Z303" s="19"/>
      <c r="AA303" s="19"/>
    </row>
    <row r="304" spans="1:27" ht="14.25" customHeight="1" x14ac:dyDescent="0.3">
      <c r="A304" s="11">
        <v>303</v>
      </c>
      <c r="B304" s="11" t="s">
        <v>87</v>
      </c>
      <c r="C304" s="11" t="s">
        <v>23</v>
      </c>
      <c r="D304" s="10">
        <v>126</v>
      </c>
      <c r="E304" s="10">
        <v>6</v>
      </c>
      <c r="F304" s="10">
        <v>124635</v>
      </c>
      <c r="G304" s="11" t="s">
        <v>170</v>
      </c>
      <c r="H304" s="10">
        <v>804</v>
      </c>
      <c r="I304" s="10">
        <v>107944</v>
      </c>
      <c r="J304" s="10">
        <v>24492991</v>
      </c>
      <c r="K304" s="11"/>
      <c r="L304" s="30"/>
      <c r="M304" s="13">
        <f>+_xlfn.XLOOKUP(D304&amp;"-"&amp;E304,'[1]Listado Lotes'!$K$3:$K$385,'[1]Listado Lotes'!$E$3:$E$385)</f>
        <v>229.5</v>
      </c>
      <c r="N304" s="28" t="s">
        <v>233</v>
      </c>
      <c r="O304" s="14" t="e">
        <v>#N/A</v>
      </c>
      <c r="P304" s="15" t="e">
        <v>#N/A</v>
      </c>
      <c r="Q304" s="16" t="e">
        <v>#N/A</v>
      </c>
      <c r="R304" s="16" t="e">
        <v>#N/A</v>
      </c>
      <c r="S304" s="17" t="e">
        <v>#N/A</v>
      </c>
      <c r="T304" s="17" t="e">
        <v>#N/A</v>
      </c>
      <c r="U304" s="18"/>
      <c r="V304" s="18"/>
      <c r="W304" s="18" t="e">
        <v>#N/A</v>
      </c>
      <c r="X304" s="19"/>
      <c r="Y304" s="19"/>
      <c r="Z304" s="19"/>
      <c r="AA304" s="19"/>
    </row>
    <row r="305" spans="1:27" ht="14.25" customHeight="1" x14ac:dyDescent="0.3">
      <c r="A305" s="11">
        <v>304</v>
      </c>
      <c r="B305" s="11" t="s">
        <v>87</v>
      </c>
      <c r="C305" s="11" t="s">
        <v>23</v>
      </c>
      <c r="D305" s="10">
        <v>126</v>
      </c>
      <c r="E305" s="10">
        <v>7</v>
      </c>
      <c r="F305" s="10">
        <v>124636</v>
      </c>
      <c r="G305" s="11" t="s">
        <v>171</v>
      </c>
      <c r="H305" s="10">
        <v>804</v>
      </c>
      <c r="I305" s="10">
        <v>107945</v>
      </c>
      <c r="J305" s="10">
        <v>24492996</v>
      </c>
      <c r="K305" s="11"/>
      <c r="L305" s="30"/>
      <c r="M305" s="13">
        <f>+_xlfn.XLOOKUP(D305&amp;"-"&amp;E305,'[1]Listado Lotes'!$K$3:$K$385,'[1]Listado Lotes'!$E$3:$E$385)</f>
        <v>298.69</v>
      </c>
      <c r="N305" s="28" t="s">
        <v>233</v>
      </c>
      <c r="O305" s="14" t="e">
        <v>#N/A</v>
      </c>
      <c r="P305" s="15" t="e">
        <v>#N/A</v>
      </c>
      <c r="Q305" s="16" t="e">
        <v>#N/A</v>
      </c>
      <c r="R305" s="16" t="e">
        <v>#N/A</v>
      </c>
      <c r="S305" s="17" t="e">
        <v>#N/A</v>
      </c>
      <c r="T305" s="17" t="e">
        <v>#N/A</v>
      </c>
      <c r="U305" s="18"/>
      <c r="V305" s="18"/>
      <c r="W305" s="18" t="e">
        <v>#N/A</v>
      </c>
      <c r="X305" s="19"/>
      <c r="Y305" s="19"/>
      <c r="Z305" s="19"/>
      <c r="AA305" s="19"/>
    </row>
    <row r="306" spans="1:27" ht="14.25" customHeight="1" x14ac:dyDescent="0.3">
      <c r="A306" s="11">
        <v>305</v>
      </c>
      <c r="B306" s="11" t="s">
        <v>87</v>
      </c>
      <c r="C306" s="11" t="s">
        <v>23</v>
      </c>
      <c r="D306" s="10">
        <v>126</v>
      </c>
      <c r="E306" s="10">
        <v>8</v>
      </c>
      <c r="F306" s="10">
        <v>124637</v>
      </c>
      <c r="G306" s="11" t="s">
        <v>172</v>
      </c>
      <c r="H306" s="10">
        <v>804</v>
      </c>
      <c r="I306" s="10">
        <v>107946</v>
      </c>
      <c r="J306" s="10">
        <v>24493012</v>
      </c>
      <c r="K306" s="11"/>
      <c r="L306" s="30"/>
      <c r="M306" s="13">
        <f>+_xlfn.XLOOKUP(D306&amp;"-"&amp;E306,'[1]Listado Lotes'!$K$3:$K$385,'[1]Listado Lotes'!$E$3:$E$385)</f>
        <v>298.69</v>
      </c>
      <c r="N306" s="28" t="s">
        <v>233</v>
      </c>
      <c r="O306" s="14" t="e">
        <v>#N/A</v>
      </c>
      <c r="P306" s="15" t="e">
        <v>#N/A</v>
      </c>
      <c r="Q306" s="16" t="e">
        <v>#N/A</v>
      </c>
      <c r="R306" s="16" t="e">
        <v>#N/A</v>
      </c>
      <c r="S306" s="17" t="e">
        <v>#N/A</v>
      </c>
      <c r="T306" s="17" t="e">
        <v>#N/A</v>
      </c>
      <c r="U306" s="18"/>
      <c r="V306" s="18"/>
      <c r="W306" s="18" t="e">
        <v>#N/A</v>
      </c>
      <c r="X306" s="19"/>
      <c r="Y306" s="19"/>
      <c r="Z306" s="19"/>
      <c r="AA306" s="19"/>
    </row>
    <row r="307" spans="1:27" ht="14.25" customHeight="1" x14ac:dyDescent="0.3">
      <c r="A307" s="11">
        <v>306</v>
      </c>
      <c r="B307" s="11" t="s">
        <v>87</v>
      </c>
      <c r="C307" s="11" t="s">
        <v>23</v>
      </c>
      <c r="D307" s="10">
        <v>126</v>
      </c>
      <c r="E307" s="10">
        <v>10</v>
      </c>
      <c r="F307" s="10">
        <v>124639</v>
      </c>
      <c r="G307" s="11" t="s">
        <v>173</v>
      </c>
      <c r="H307" s="10">
        <v>804</v>
      </c>
      <c r="I307" s="10">
        <v>107947</v>
      </c>
      <c r="J307" s="10">
        <v>24493035</v>
      </c>
      <c r="K307" s="11"/>
      <c r="L307" s="30"/>
      <c r="M307" s="13">
        <f>+_xlfn.XLOOKUP(D307&amp;"-"&amp;E307,'[1]Listado Lotes'!$K$3:$K$385,'[1]Listado Lotes'!$E$3:$E$385)</f>
        <v>298.69</v>
      </c>
      <c r="N307" s="28" t="s">
        <v>233</v>
      </c>
      <c r="O307" s="14" t="e">
        <v>#N/A</v>
      </c>
      <c r="P307" s="15" t="e">
        <v>#N/A</v>
      </c>
      <c r="Q307" s="16" t="e">
        <v>#N/A</v>
      </c>
      <c r="R307" s="16" t="e">
        <v>#N/A</v>
      </c>
      <c r="S307" s="17" t="e">
        <v>#N/A</v>
      </c>
      <c r="T307" s="17" t="e">
        <v>#N/A</v>
      </c>
      <c r="U307" s="18"/>
      <c r="V307" s="18"/>
      <c r="W307" s="18" t="e">
        <v>#N/A</v>
      </c>
      <c r="X307" s="19"/>
      <c r="Y307" s="19"/>
      <c r="Z307" s="19"/>
      <c r="AA307" s="19"/>
    </row>
    <row r="308" spans="1:27" ht="14.25" customHeight="1" x14ac:dyDescent="0.3">
      <c r="A308" s="11">
        <v>307</v>
      </c>
      <c r="B308" s="11" t="s">
        <v>87</v>
      </c>
      <c r="C308" s="11" t="s">
        <v>23</v>
      </c>
      <c r="D308" s="10">
        <v>126</v>
      </c>
      <c r="E308" s="10">
        <v>11</v>
      </c>
      <c r="F308" s="10">
        <v>124640</v>
      </c>
      <c r="G308" s="11" t="s">
        <v>174</v>
      </c>
      <c r="H308" s="10">
        <v>804</v>
      </c>
      <c r="I308" s="10">
        <v>107948</v>
      </c>
      <c r="J308" s="10">
        <v>24493071</v>
      </c>
      <c r="K308" s="11"/>
      <c r="L308" s="30"/>
      <c r="M308" s="13">
        <f>+_xlfn.XLOOKUP(D308&amp;"-"&amp;E308,'[1]Listado Lotes'!$K$3:$K$385,'[1]Listado Lotes'!$E$3:$E$385)</f>
        <v>298.69</v>
      </c>
      <c r="N308" s="28" t="s">
        <v>233</v>
      </c>
      <c r="O308" s="14" t="e">
        <v>#N/A</v>
      </c>
      <c r="P308" s="15" t="e">
        <v>#N/A</v>
      </c>
      <c r="Q308" s="16" t="e">
        <v>#N/A</v>
      </c>
      <c r="R308" s="16" t="e">
        <v>#N/A</v>
      </c>
      <c r="S308" s="17" t="e">
        <v>#N/A</v>
      </c>
      <c r="T308" s="17" t="e">
        <v>#N/A</v>
      </c>
      <c r="U308" s="18"/>
      <c r="V308" s="18"/>
      <c r="W308" s="18" t="e">
        <v>#N/A</v>
      </c>
      <c r="X308" s="19"/>
      <c r="Y308" s="19"/>
      <c r="Z308" s="19"/>
      <c r="AA308" s="19"/>
    </row>
    <row r="309" spans="1:27" ht="14.25" customHeight="1" x14ac:dyDescent="0.3">
      <c r="A309" s="11">
        <v>308</v>
      </c>
      <c r="B309" s="11" t="s">
        <v>87</v>
      </c>
      <c r="C309" s="11" t="s">
        <v>23</v>
      </c>
      <c r="D309" s="10">
        <v>126</v>
      </c>
      <c r="E309" s="10">
        <v>12</v>
      </c>
      <c r="F309" s="10">
        <v>124641</v>
      </c>
      <c r="G309" s="11" t="s">
        <v>175</v>
      </c>
      <c r="H309" s="10">
        <v>804</v>
      </c>
      <c r="I309" s="10">
        <v>107949</v>
      </c>
      <c r="J309" s="10">
        <v>24493075</v>
      </c>
      <c r="K309" s="11"/>
      <c r="L309" s="30"/>
      <c r="M309" s="13">
        <f>+_xlfn.XLOOKUP(D309&amp;"-"&amp;E309,'[1]Listado Lotes'!$K$3:$K$385,'[1]Listado Lotes'!$E$3:$E$385)</f>
        <v>298.69</v>
      </c>
      <c r="N309" s="28" t="s">
        <v>233</v>
      </c>
      <c r="O309" s="14" t="e">
        <v>#N/A</v>
      </c>
      <c r="P309" s="15" t="e">
        <v>#N/A</v>
      </c>
      <c r="Q309" s="16" t="e">
        <v>#N/A</v>
      </c>
      <c r="R309" s="16" t="e">
        <v>#N/A</v>
      </c>
      <c r="S309" s="17" t="e">
        <v>#N/A</v>
      </c>
      <c r="T309" s="17" t="e">
        <v>#N/A</v>
      </c>
      <c r="U309" s="18"/>
      <c r="V309" s="18"/>
      <c r="W309" s="18" t="e">
        <v>#N/A</v>
      </c>
      <c r="X309" s="19"/>
      <c r="Y309" s="19"/>
      <c r="Z309" s="19"/>
      <c r="AA309" s="19"/>
    </row>
    <row r="310" spans="1:27" ht="14.25" customHeight="1" x14ac:dyDescent="0.3">
      <c r="A310" s="11">
        <v>309</v>
      </c>
      <c r="B310" s="11" t="s">
        <v>87</v>
      </c>
      <c r="C310" s="11" t="s">
        <v>23</v>
      </c>
      <c r="D310" s="10">
        <v>126</v>
      </c>
      <c r="E310" s="10">
        <v>13</v>
      </c>
      <c r="F310" s="10">
        <v>124642</v>
      </c>
      <c r="G310" s="11" t="s">
        <v>176</v>
      </c>
      <c r="H310" s="10">
        <v>804</v>
      </c>
      <c r="I310" s="10">
        <v>107950</v>
      </c>
      <c r="J310" s="10">
        <v>24493086</v>
      </c>
      <c r="K310" s="11"/>
      <c r="L310" s="30"/>
      <c r="M310" s="13">
        <f>+_xlfn.XLOOKUP(D310&amp;"-"&amp;E310,'[1]Listado Lotes'!$K$3:$K$385,'[1]Listado Lotes'!$E$3:$E$385)</f>
        <v>298.69</v>
      </c>
      <c r="N310" s="28" t="s">
        <v>233</v>
      </c>
      <c r="O310" s="14" t="e">
        <v>#N/A</v>
      </c>
      <c r="P310" s="15" t="e">
        <v>#N/A</v>
      </c>
      <c r="Q310" s="16" t="e">
        <v>#N/A</v>
      </c>
      <c r="R310" s="16" t="e">
        <v>#N/A</v>
      </c>
      <c r="S310" s="17" t="e">
        <v>#N/A</v>
      </c>
      <c r="T310" s="17" t="e">
        <v>#N/A</v>
      </c>
      <c r="U310" s="18"/>
      <c r="V310" s="18"/>
      <c r="W310" s="18" t="e">
        <v>#N/A</v>
      </c>
      <c r="X310" s="19"/>
      <c r="Y310" s="19"/>
      <c r="Z310" s="19"/>
      <c r="AA310" s="19"/>
    </row>
    <row r="311" spans="1:27" ht="14.25" customHeight="1" x14ac:dyDescent="0.3">
      <c r="A311" s="11">
        <v>310</v>
      </c>
      <c r="B311" s="11" t="s">
        <v>87</v>
      </c>
      <c r="C311" s="11" t="s">
        <v>23</v>
      </c>
      <c r="D311" s="10">
        <v>126</v>
      </c>
      <c r="E311" s="10">
        <v>14</v>
      </c>
      <c r="F311" s="10">
        <v>124643</v>
      </c>
      <c r="G311" s="11" t="s">
        <v>177</v>
      </c>
      <c r="H311" s="10">
        <v>804</v>
      </c>
      <c r="I311" s="10">
        <v>107951</v>
      </c>
      <c r="J311" s="10">
        <v>24493090</v>
      </c>
      <c r="K311" s="11"/>
      <c r="L311" s="30"/>
      <c r="M311" s="13">
        <f>+_xlfn.XLOOKUP(D311&amp;"-"&amp;E311,'[1]Listado Lotes'!$K$3:$K$385,'[1]Listado Lotes'!$E$3:$E$385)</f>
        <v>298.69</v>
      </c>
      <c r="N311" s="28" t="s">
        <v>233</v>
      </c>
      <c r="O311" s="14" t="e">
        <v>#N/A</v>
      </c>
      <c r="P311" s="15" t="e">
        <v>#N/A</v>
      </c>
      <c r="Q311" s="16" t="e">
        <v>#N/A</v>
      </c>
      <c r="R311" s="16" t="e">
        <v>#N/A</v>
      </c>
      <c r="S311" s="17" t="e">
        <v>#N/A</v>
      </c>
      <c r="T311" s="17" t="e">
        <v>#N/A</v>
      </c>
      <c r="U311" s="18"/>
      <c r="V311" s="18"/>
      <c r="W311" s="18" t="e">
        <v>#N/A</v>
      </c>
      <c r="X311" s="19"/>
      <c r="Y311" s="19"/>
      <c r="Z311" s="19"/>
      <c r="AA311" s="19"/>
    </row>
    <row r="312" spans="1:27" ht="14.25" customHeight="1" x14ac:dyDescent="0.3">
      <c r="A312" s="11">
        <v>311</v>
      </c>
      <c r="B312" s="11" t="s">
        <v>87</v>
      </c>
      <c r="C312" s="11" t="s">
        <v>23</v>
      </c>
      <c r="D312" s="10">
        <v>126</v>
      </c>
      <c r="E312" s="11" t="s">
        <v>150</v>
      </c>
      <c r="F312" s="10">
        <v>124644</v>
      </c>
      <c r="G312" s="11" t="s">
        <v>178</v>
      </c>
      <c r="H312" s="10">
        <v>804</v>
      </c>
      <c r="I312" s="10">
        <v>107968</v>
      </c>
      <c r="J312" s="10">
        <v>24493091</v>
      </c>
      <c r="K312" s="11"/>
      <c r="L312" s="30"/>
      <c r="M312" s="13">
        <v>290</v>
      </c>
      <c r="N312" s="28" t="s">
        <v>233</v>
      </c>
      <c r="O312" s="14" t="e">
        <v>#N/A</v>
      </c>
      <c r="P312" s="15" t="e">
        <v>#N/A</v>
      </c>
      <c r="Q312" s="16" t="e">
        <v>#N/A</v>
      </c>
      <c r="R312" s="16" t="e">
        <v>#N/A</v>
      </c>
      <c r="S312" s="17" t="e">
        <v>#N/A</v>
      </c>
      <c r="T312" s="17" t="e">
        <v>#N/A</v>
      </c>
      <c r="U312" s="18"/>
      <c r="V312" s="18"/>
      <c r="W312" s="18" t="e">
        <v>#N/A</v>
      </c>
      <c r="X312" s="19"/>
      <c r="Y312" s="19"/>
      <c r="Z312" s="19"/>
      <c r="AA312" s="19"/>
    </row>
    <row r="313" spans="1:27" ht="14.25" customHeight="1" x14ac:dyDescent="0.3">
      <c r="A313" s="11">
        <v>312</v>
      </c>
      <c r="B313" s="11" t="s">
        <v>87</v>
      </c>
      <c r="C313" s="11" t="s">
        <v>23</v>
      </c>
      <c r="D313" s="10">
        <v>126</v>
      </c>
      <c r="E313" s="11" t="s">
        <v>114</v>
      </c>
      <c r="F313" s="10">
        <v>124645</v>
      </c>
      <c r="G313" s="11" t="s">
        <v>179</v>
      </c>
      <c r="H313" s="10">
        <v>804</v>
      </c>
      <c r="I313" s="10">
        <v>107969</v>
      </c>
      <c r="J313" s="10">
        <v>24493094</v>
      </c>
      <c r="K313" s="11"/>
      <c r="L313" s="30"/>
      <c r="M313" s="13">
        <v>294</v>
      </c>
      <c r="N313" s="28" t="s">
        <v>233</v>
      </c>
      <c r="O313" s="14" t="e">
        <v>#N/A</v>
      </c>
      <c r="P313" s="15" t="e">
        <v>#N/A</v>
      </c>
      <c r="Q313" s="16" t="e">
        <v>#N/A</v>
      </c>
      <c r="R313" s="16" t="e">
        <v>#N/A</v>
      </c>
      <c r="S313" s="17" t="e">
        <v>#N/A</v>
      </c>
      <c r="T313" s="17" t="e">
        <v>#N/A</v>
      </c>
      <c r="U313" s="18"/>
      <c r="V313" s="18"/>
      <c r="W313" s="18" t="e">
        <v>#N/A</v>
      </c>
      <c r="X313" s="19"/>
      <c r="Y313" s="19"/>
      <c r="Z313" s="19"/>
      <c r="AA313" s="19"/>
    </row>
    <row r="314" spans="1:27" ht="14.25" customHeight="1" x14ac:dyDescent="0.3">
      <c r="A314" s="11">
        <v>313</v>
      </c>
      <c r="B314" s="11" t="s">
        <v>87</v>
      </c>
      <c r="C314" s="11" t="s">
        <v>23</v>
      </c>
      <c r="D314" s="10">
        <v>126</v>
      </c>
      <c r="E314" s="11" t="s">
        <v>116</v>
      </c>
      <c r="F314" s="10">
        <v>124646</v>
      </c>
      <c r="G314" s="11" t="s">
        <v>180</v>
      </c>
      <c r="H314" s="10">
        <v>804</v>
      </c>
      <c r="I314" s="10">
        <v>107970</v>
      </c>
      <c r="J314" s="10">
        <v>24493099</v>
      </c>
      <c r="K314" s="11"/>
      <c r="L314" s="30"/>
      <c r="M314" s="13">
        <v>291</v>
      </c>
      <c r="N314" s="28" t="s">
        <v>233</v>
      </c>
      <c r="O314" s="14" t="e">
        <v>#N/A</v>
      </c>
      <c r="P314" s="15" t="e">
        <v>#N/A</v>
      </c>
      <c r="Q314" s="16" t="e">
        <v>#N/A</v>
      </c>
      <c r="R314" s="16" t="e">
        <v>#N/A</v>
      </c>
      <c r="S314" s="17" t="e">
        <v>#N/A</v>
      </c>
      <c r="T314" s="17" t="e">
        <v>#N/A</v>
      </c>
      <c r="U314" s="18"/>
      <c r="V314" s="18"/>
      <c r="W314" s="18" t="e">
        <v>#N/A</v>
      </c>
      <c r="X314" s="19"/>
      <c r="Y314" s="19"/>
      <c r="Z314" s="19"/>
      <c r="AA314" s="19"/>
    </row>
    <row r="315" spans="1:27" ht="14.25" customHeight="1" x14ac:dyDescent="0.3">
      <c r="A315" s="11">
        <v>314</v>
      </c>
      <c r="B315" s="11" t="s">
        <v>87</v>
      </c>
      <c r="C315" s="11" t="s">
        <v>23</v>
      </c>
      <c r="D315" s="10">
        <v>126</v>
      </c>
      <c r="E315" s="11" t="s">
        <v>118</v>
      </c>
      <c r="F315" s="10">
        <v>124647</v>
      </c>
      <c r="G315" s="11" t="s">
        <v>181</v>
      </c>
      <c r="H315" s="10">
        <v>804</v>
      </c>
      <c r="I315" s="10">
        <v>107971</v>
      </c>
      <c r="J315" s="10">
        <v>24493105</v>
      </c>
      <c r="K315" s="11"/>
      <c r="L315" s="30"/>
      <c r="M315" s="13">
        <v>288</v>
      </c>
      <c r="N315" s="28" t="s">
        <v>233</v>
      </c>
      <c r="O315" s="14" t="e">
        <v>#N/A</v>
      </c>
      <c r="P315" s="15" t="e">
        <v>#N/A</v>
      </c>
      <c r="Q315" s="16" t="e">
        <v>#N/A</v>
      </c>
      <c r="R315" s="16" t="e">
        <v>#N/A</v>
      </c>
      <c r="S315" s="17" t="e">
        <v>#N/A</v>
      </c>
      <c r="T315" s="17" t="e">
        <v>#N/A</v>
      </c>
      <c r="U315" s="18"/>
      <c r="V315" s="18"/>
      <c r="W315" s="18" t="e">
        <v>#N/A</v>
      </c>
      <c r="X315" s="19"/>
      <c r="Y315" s="19"/>
      <c r="Z315" s="19"/>
      <c r="AA315" s="19"/>
    </row>
    <row r="316" spans="1:27" ht="14.25" customHeight="1" x14ac:dyDescent="0.3">
      <c r="A316" s="11">
        <v>315</v>
      </c>
      <c r="B316" s="11" t="s">
        <v>87</v>
      </c>
      <c r="C316" s="11" t="s">
        <v>23</v>
      </c>
      <c r="D316" s="10">
        <v>126</v>
      </c>
      <c r="E316" s="11" t="s">
        <v>120</v>
      </c>
      <c r="F316" s="10">
        <v>124648</v>
      </c>
      <c r="G316" s="11" t="s">
        <v>182</v>
      </c>
      <c r="H316" s="10">
        <v>804</v>
      </c>
      <c r="I316" s="10">
        <v>107972</v>
      </c>
      <c r="J316" s="10">
        <v>24493123</v>
      </c>
      <c r="K316" s="11"/>
      <c r="L316" s="30"/>
      <c r="M316" s="13">
        <v>285</v>
      </c>
      <c r="N316" s="28" t="s">
        <v>233</v>
      </c>
      <c r="O316" s="14" t="e">
        <v>#N/A</v>
      </c>
      <c r="P316" s="15" t="e">
        <v>#N/A</v>
      </c>
      <c r="Q316" s="16" t="e">
        <v>#N/A</v>
      </c>
      <c r="R316" s="16" t="e">
        <v>#N/A</v>
      </c>
      <c r="S316" s="17" t="e">
        <v>#N/A</v>
      </c>
      <c r="T316" s="17" t="e">
        <v>#N/A</v>
      </c>
      <c r="U316" s="18"/>
      <c r="V316" s="18"/>
      <c r="W316" s="18" t="e">
        <v>#N/A</v>
      </c>
      <c r="X316" s="19"/>
      <c r="Y316" s="19"/>
      <c r="Z316" s="19"/>
      <c r="AA316" s="19"/>
    </row>
    <row r="317" spans="1:27" ht="14.25" customHeight="1" x14ac:dyDescent="0.3">
      <c r="A317" s="11">
        <v>316</v>
      </c>
      <c r="B317" s="11" t="s">
        <v>87</v>
      </c>
      <c r="C317" s="11" t="s">
        <v>23</v>
      </c>
      <c r="D317" s="10">
        <v>126</v>
      </c>
      <c r="E317" s="11" t="s">
        <v>122</v>
      </c>
      <c r="F317" s="10">
        <v>124649</v>
      </c>
      <c r="G317" s="11" t="s">
        <v>183</v>
      </c>
      <c r="H317" s="10">
        <v>804</v>
      </c>
      <c r="I317" s="10">
        <v>107973</v>
      </c>
      <c r="J317" s="10">
        <v>24493127</v>
      </c>
      <c r="K317" s="11"/>
      <c r="L317" s="30"/>
      <c r="M317" s="13">
        <v>277</v>
      </c>
      <c r="N317" s="28" t="s">
        <v>233</v>
      </c>
      <c r="O317" s="14" t="e">
        <v>#N/A</v>
      </c>
      <c r="P317" s="15" t="e">
        <v>#N/A</v>
      </c>
      <c r="Q317" s="16" t="e">
        <v>#N/A</v>
      </c>
      <c r="R317" s="16" t="e">
        <v>#N/A</v>
      </c>
      <c r="S317" s="17" t="e">
        <v>#N/A</v>
      </c>
      <c r="T317" s="17" t="e">
        <v>#N/A</v>
      </c>
      <c r="U317" s="18"/>
      <c r="V317" s="18"/>
      <c r="W317" s="18" t="e">
        <v>#N/A</v>
      </c>
      <c r="X317" s="19"/>
      <c r="Y317" s="19"/>
      <c r="Z317" s="19"/>
      <c r="AA317" s="19"/>
    </row>
    <row r="318" spans="1:27" ht="14.25" customHeight="1" x14ac:dyDescent="0.3">
      <c r="A318" s="11">
        <v>317</v>
      </c>
      <c r="B318" s="11" t="s">
        <v>87</v>
      </c>
      <c r="C318" s="11" t="s">
        <v>23</v>
      </c>
      <c r="D318" s="10">
        <v>126</v>
      </c>
      <c r="E318" s="10">
        <v>21</v>
      </c>
      <c r="F318" s="10">
        <v>124650</v>
      </c>
      <c r="G318" s="11" t="s">
        <v>184</v>
      </c>
      <c r="H318" s="10">
        <v>804</v>
      </c>
      <c r="I318" s="10">
        <v>107952</v>
      </c>
      <c r="J318" s="10">
        <v>24493131</v>
      </c>
      <c r="K318" s="11"/>
      <c r="L318" s="30"/>
      <c r="M318" s="13">
        <f>+_xlfn.XLOOKUP(D318&amp;"-"&amp;E318,'[1]Listado Lotes'!$K$3:$K$385,'[1]Listado Lotes'!$E$3:$E$385)</f>
        <v>298.69</v>
      </c>
      <c r="N318" s="28" t="s">
        <v>233</v>
      </c>
      <c r="O318" s="14" t="e">
        <v>#N/A</v>
      </c>
      <c r="P318" s="15" t="e">
        <v>#N/A</v>
      </c>
      <c r="Q318" s="16" t="e">
        <v>#N/A</v>
      </c>
      <c r="R318" s="16" t="e">
        <v>#N/A</v>
      </c>
      <c r="S318" s="17" t="e">
        <v>#N/A</v>
      </c>
      <c r="T318" s="17" t="e">
        <v>#N/A</v>
      </c>
      <c r="U318" s="18"/>
      <c r="V318" s="18"/>
      <c r="W318" s="18" t="e">
        <v>#N/A</v>
      </c>
      <c r="X318" s="19"/>
      <c r="Y318" s="19"/>
      <c r="Z318" s="19"/>
      <c r="AA318" s="19"/>
    </row>
    <row r="319" spans="1:27" ht="14.25" customHeight="1" x14ac:dyDescent="0.3">
      <c r="A319" s="11">
        <v>318</v>
      </c>
      <c r="B319" s="11" t="s">
        <v>87</v>
      </c>
      <c r="C319" s="11" t="s">
        <v>23</v>
      </c>
      <c r="D319" s="10">
        <v>126</v>
      </c>
      <c r="E319" s="10">
        <v>22</v>
      </c>
      <c r="F319" s="10">
        <v>124651</v>
      </c>
      <c r="G319" s="11" t="s">
        <v>185</v>
      </c>
      <c r="H319" s="10">
        <v>804</v>
      </c>
      <c r="I319" s="10">
        <v>107957</v>
      </c>
      <c r="J319" s="10">
        <v>24493137</v>
      </c>
      <c r="K319" s="11"/>
      <c r="L319" s="30"/>
      <c r="M319" s="13">
        <f>+_xlfn.XLOOKUP(D319&amp;"-"&amp;E319,'[1]Listado Lotes'!$K$3:$K$385,'[1]Listado Lotes'!$E$3:$E$385)</f>
        <v>298.69</v>
      </c>
      <c r="N319" s="28" t="s">
        <v>233</v>
      </c>
      <c r="O319" s="14" t="e">
        <v>#N/A</v>
      </c>
      <c r="P319" s="15" t="e">
        <v>#N/A</v>
      </c>
      <c r="Q319" s="16" t="e">
        <v>#N/A</v>
      </c>
      <c r="R319" s="16" t="e">
        <v>#N/A</v>
      </c>
      <c r="S319" s="17" t="e">
        <v>#N/A</v>
      </c>
      <c r="T319" s="17" t="e">
        <v>#N/A</v>
      </c>
      <c r="U319" s="18"/>
      <c r="V319" s="18"/>
      <c r="W319" s="18" t="e">
        <v>#N/A</v>
      </c>
      <c r="X319" s="19"/>
      <c r="Y319" s="19"/>
      <c r="Z319" s="19"/>
      <c r="AA319" s="19"/>
    </row>
    <row r="320" spans="1:27" ht="14.25" customHeight="1" x14ac:dyDescent="0.3">
      <c r="A320" s="11">
        <v>319</v>
      </c>
      <c r="B320" s="11" t="s">
        <v>87</v>
      </c>
      <c r="C320" s="11" t="s">
        <v>23</v>
      </c>
      <c r="D320" s="10">
        <v>126</v>
      </c>
      <c r="E320" s="10">
        <v>23</v>
      </c>
      <c r="F320" s="10">
        <v>124652</v>
      </c>
      <c r="G320" s="11" t="s">
        <v>186</v>
      </c>
      <c r="H320" s="10">
        <v>804</v>
      </c>
      <c r="I320" s="10">
        <v>107961</v>
      </c>
      <c r="J320" s="10">
        <v>24493141</v>
      </c>
      <c r="K320" s="11"/>
      <c r="L320" s="30"/>
      <c r="M320" s="13">
        <f>+_xlfn.XLOOKUP(D320&amp;"-"&amp;E320,'[1]Listado Lotes'!$K$3:$K$385,'[1]Listado Lotes'!$E$3:$E$385)</f>
        <v>298.69</v>
      </c>
      <c r="N320" s="28" t="s">
        <v>233</v>
      </c>
      <c r="O320" s="14" t="e">
        <v>#N/A</v>
      </c>
      <c r="P320" s="15" t="e">
        <v>#N/A</v>
      </c>
      <c r="Q320" s="16" t="e">
        <v>#N/A</v>
      </c>
      <c r="R320" s="16" t="e">
        <v>#N/A</v>
      </c>
      <c r="S320" s="17" t="e">
        <v>#N/A</v>
      </c>
      <c r="T320" s="17" t="e">
        <v>#N/A</v>
      </c>
      <c r="U320" s="18"/>
      <c r="V320" s="18"/>
      <c r="W320" s="18" t="e">
        <v>#N/A</v>
      </c>
      <c r="X320" s="19"/>
      <c r="Y320" s="19"/>
      <c r="Z320" s="19"/>
      <c r="AA320" s="19"/>
    </row>
    <row r="321" spans="1:27" ht="14.25" customHeight="1" x14ac:dyDescent="0.3">
      <c r="A321" s="11">
        <v>320</v>
      </c>
      <c r="B321" s="11" t="s">
        <v>87</v>
      </c>
      <c r="C321" s="11" t="s">
        <v>23</v>
      </c>
      <c r="D321" s="10">
        <v>126</v>
      </c>
      <c r="E321" s="10">
        <v>24</v>
      </c>
      <c r="F321" s="10">
        <v>124653</v>
      </c>
      <c r="G321" s="11" t="s">
        <v>187</v>
      </c>
      <c r="H321" s="10">
        <v>804</v>
      </c>
      <c r="I321" s="10">
        <v>107962</v>
      </c>
      <c r="J321" s="10">
        <v>24493143</v>
      </c>
      <c r="K321" s="11"/>
      <c r="L321" s="30"/>
      <c r="M321" s="13">
        <f>+_xlfn.XLOOKUP(D321&amp;"-"&amp;E321,'[1]Listado Lotes'!$K$3:$K$385,'[1]Listado Lotes'!$E$3:$E$385)</f>
        <v>298.69</v>
      </c>
      <c r="N321" s="28" t="s">
        <v>233</v>
      </c>
      <c r="O321" s="14" t="e">
        <v>#N/A</v>
      </c>
      <c r="P321" s="15" t="e">
        <v>#N/A</v>
      </c>
      <c r="Q321" s="16" t="e">
        <v>#N/A</v>
      </c>
      <c r="R321" s="16" t="e">
        <v>#N/A</v>
      </c>
      <c r="S321" s="17" t="e">
        <v>#N/A</v>
      </c>
      <c r="T321" s="17" t="e">
        <v>#N/A</v>
      </c>
      <c r="U321" s="18"/>
      <c r="V321" s="18"/>
      <c r="W321" s="18" t="e">
        <v>#N/A</v>
      </c>
      <c r="X321" s="19"/>
      <c r="Y321" s="19"/>
      <c r="Z321" s="19"/>
      <c r="AA321" s="19"/>
    </row>
    <row r="322" spans="1:27" ht="14.25" customHeight="1" x14ac:dyDescent="0.3">
      <c r="A322" s="11">
        <v>321</v>
      </c>
      <c r="B322" s="11" t="s">
        <v>87</v>
      </c>
      <c r="C322" s="11" t="s">
        <v>23</v>
      </c>
      <c r="D322" s="10">
        <v>126</v>
      </c>
      <c r="E322" s="10">
        <v>25</v>
      </c>
      <c r="F322" s="10">
        <v>124654</v>
      </c>
      <c r="G322" s="11" t="s">
        <v>188</v>
      </c>
      <c r="H322" s="10">
        <v>804</v>
      </c>
      <c r="I322" s="10">
        <v>74451</v>
      </c>
      <c r="J322" s="10">
        <v>24493144</v>
      </c>
      <c r="K322" s="11"/>
      <c r="L322" s="30"/>
      <c r="M322" s="13">
        <f>+_xlfn.XLOOKUP(D322&amp;"-"&amp;E322,'[1]Listado Lotes'!$K$3:$K$385,'[1]Listado Lotes'!$E$3:$E$385)</f>
        <v>298.69</v>
      </c>
      <c r="N322" s="28" t="s">
        <v>233</v>
      </c>
      <c r="O322" s="14" t="e">
        <v>#N/A</v>
      </c>
      <c r="P322" s="15" t="e">
        <v>#N/A</v>
      </c>
      <c r="Q322" s="16" t="e">
        <v>#N/A</v>
      </c>
      <c r="R322" s="16" t="e">
        <v>#N/A</v>
      </c>
      <c r="S322" s="17" t="e">
        <v>#N/A</v>
      </c>
      <c r="T322" s="17" t="e">
        <v>#N/A</v>
      </c>
      <c r="U322" s="18"/>
      <c r="V322" s="18"/>
      <c r="W322" s="18" t="e">
        <v>#N/A</v>
      </c>
      <c r="X322" s="19"/>
      <c r="Y322" s="19"/>
      <c r="Z322" s="19"/>
      <c r="AA322" s="19"/>
    </row>
    <row r="323" spans="1:27" ht="14.25" customHeight="1" x14ac:dyDescent="0.3">
      <c r="A323" s="11">
        <v>322</v>
      </c>
      <c r="B323" s="11" t="s">
        <v>87</v>
      </c>
      <c r="C323" s="11" t="s">
        <v>23</v>
      </c>
      <c r="D323" s="10">
        <v>126</v>
      </c>
      <c r="E323" s="10">
        <v>26</v>
      </c>
      <c r="F323" s="10">
        <v>124655</v>
      </c>
      <c r="G323" s="11" t="s">
        <v>189</v>
      </c>
      <c r="H323" s="10">
        <v>804</v>
      </c>
      <c r="I323" s="10">
        <v>107963</v>
      </c>
      <c r="J323" s="10">
        <v>24493147</v>
      </c>
      <c r="K323" s="11"/>
      <c r="L323" s="30"/>
      <c r="M323" s="13">
        <f>+_xlfn.XLOOKUP(D323&amp;"-"&amp;E323,'[1]Listado Lotes'!$K$3:$K$385,'[1]Listado Lotes'!$E$3:$E$385)</f>
        <v>298.69</v>
      </c>
      <c r="N323" s="28" t="s">
        <v>233</v>
      </c>
      <c r="O323" s="14" t="e">
        <v>#N/A</v>
      </c>
      <c r="P323" s="15" t="e">
        <v>#N/A</v>
      </c>
      <c r="Q323" s="16" t="e">
        <v>#N/A</v>
      </c>
      <c r="R323" s="16" t="e">
        <v>#N/A</v>
      </c>
      <c r="S323" s="17" t="e">
        <v>#N/A</v>
      </c>
      <c r="T323" s="17" t="e">
        <v>#N/A</v>
      </c>
      <c r="U323" s="18"/>
      <c r="V323" s="18"/>
      <c r="W323" s="18" t="e">
        <v>#N/A</v>
      </c>
      <c r="X323" s="19"/>
      <c r="Y323" s="19"/>
      <c r="Z323" s="19"/>
      <c r="AA323" s="19"/>
    </row>
    <row r="324" spans="1:27" ht="14.25" customHeight="1" x14ac:dyDescent="0.3">
      <c r="A324" s="11">
        <v>323</v>
      </c>
      <c r="B324" s="11" t="s">
        <v>87</v>
      </c>
      <c r="C324" s="11" t="s">
        <v>23</v>
      </c>
      <c r="D324" s="10">
        <v>126</v>
      </c>
      <c r="E324" s="10">
        <v>27</v>
      </c>
      <c r="F324" s="10">
        <v>124656</v>
      </c>
      <c r="G324" s="11" t="s">
        <v>190</v>
      </c>
      <c r="H324" s="10">
        <v>804</v>
      </c>
      <c r="I324" s="10">
        <v>107964</v>
      </c>
      <c r="J324" s="10">
        <v>24493206</v>
      </c>
      <c r="K324" s="11"/>
      <c r="L324" s="30"/>
      <c r="M324" s="13">
        <f>+_xlfn.XLOOKUP(D324&amp;"-"&amp;E324,'[1]Listado Lotes'!$K$3:$K$385,'[1]Listado Lotes'!$E$3:$E$385)</f>
        <v>298.69</v>
      </c>
      <c r="N324" s="28" t="s">
        <v>233</v>
      </c>
      <c r="O324" s="14" t="e">
        <v>#N/A</v>
      </c>
      <c r="P324" s="15" t="e">
        <v>#N/A</v>
      </c>
      <c r="Q324" s="16" t="e">
        <v>#N/A</v>
      </c>
      <c r="R324" s="16" t="e">
        <v>#N/A</v>
      </c>
      <c r="S324" s="17" t="e">
        <v>#N/A</v>
      </c>
      <c r="T324" s="17" t="e">
        <v>#N/A</v>
      </c>
      <c r="U324" s="18"/>
      <c r="V324" s="18"/>
      <c r="W324" s="18" t="e">
        <v>#N/A</v>
      </c>
      <c r="X324" s="19"/>
      <c r="Y324" s="19"/>
      <c r="Z324" s="19"/>
      <c r="AA324" s="19"/>
    </row>
    <row r="325" spans="1:27" ht="14.25" customHeight="1" x14ac:dyDescent="0.3">
      <c r="A325" s="11">
        <v>324</v>
      </c>
      <c r="B325" s="11" t="s">
        <v>87</v>
      </c>
      <c r="C325" s="11" t="s">
        <v>23</v>
      </c>
      <c r="D325" s="10">
        <v>126</v>
      </c>
      <c r="E325" s="10">
        <v>28</v>
      </c>
      <c r="F325" s="10">
        <v>124657</v>
      </c>
      <c r="G325" s="11" t="s">
        <v>191</v>
      </c>
      <c r="H325" s="10">
        <v>804</v>
      </c>
      <c r="I325" s="10">
        <v>107965</v>
      </c>
      <c r="J325" s="10">
        <v>24493211</v>
      </c>
      <c r="K325" s="11"/>
      <c r="L325" s="30"/>
      <c r="M325" s="13">
        <f>+_xlfn.XLOOKUP(D325&amp;"-"&amp;E325,'[1]Listado Lotes'!$K$3:$K$385,'[1]Listado Lotes'!$E$3:$E$385)</f>
        <v>298.69</v>
      </c>
      <c r="N325" s="28" t="s">
        <v>233</v>
      </c>
      <c r="O325" s="14" t="e">
        <v>#N/A</v>
      </c>
      <c r="P325" s="15" t="e">
        <v>#N/A</v>
      </c>
      <c r="Q325" s="16" t="e">
        <v>#N/A</v>
      </c>
      <c r="R325" s="16" t="e">
        <v>#N/A</v>
      </c>
      <c r="S325" s="17" t="e">
        <v>#N/A</v>
      </c>
      <c r="T325" s="17" t="e">
        <v>#N/A</v>
      </c>
      <c r="U325" s="18"/>
      <c r="V325" s="18"/>
      <c r="W325" s="18" t="e">
        <v>#N/A</v>
      </c>
      <c r="X325" s="19"/>
      <c r="Y325" s="19"/>
      <c r="Z325" s="19"/>
      <c r="AA325" s="19"/>
    </row>
    <row r="326" spans="1:27" ht="14.25" customHeight="1" x14ac:dyDescent="0.3">
      <c r="A326" s="11">
        <v>325</v>
      </c>
      <c r="B326" s="11" t="s">
        <v>87</v>
      </c>
      <c r="C326" s="11" t="s">
        <v>23</v>
      </c>
      <c r="D326" s="10">
        <v>156</v>
      </c>
      <c r="E326" s="11" t="s">
        <v>192</v>
      </c>
      <c r="F326" s="10">
        <v>95599</v>
      </c>
      <c r="G326" s="11" t="s">
        <v>193</v>
      </c>
      <c r="H326" s="10">
        <v>804</v>
      </c>
      <c r="I326" s="10">
        <v>108010</v>
      </c>
      <c r="J326" s="10">
        <v>24491981</v>
      </c>
      <c r="K326" s="11" t="s">
        <v>194</v>
      </c>
      <c r="L326" s="30"/>
      <c r="M326" s="13">
        <f>+_xlfn.XLOOKUP(D326&amp;"-"&amp;E326,'[1]Listado Lotes'!$K$3:$K$385,'[1]Listado Lotes'!$E$3:$E$385)</f>
        <v>283</v>
      </c>
      <c r="N326" s="28" t="s">
        <v>233</v>
      </c>
      <c r="O326" s="14" t="e">
        <v>#N/A</v>
      </c>
      <c r="P326" s="15" t="e">
        <v>#N/A</v>
      </c>
      <c r="Q326" s="16" t="e">
        <v>#N/A</v>
      </c>
      <c r="R326" s="16" t="e">
        <v>#N/A</v>
      </c>
      <c r="S326" s="17" t="e">
        <v>#N/A</v>
      </c>
      <c r="T326" s="17" t="e">
        <v>#N/A</v>
      </c>
      <c r="U326" s="18"/>
      <c r="V326" s="18"/>
      <c r="W326" s="18" t="e">
        <v>#N/A</v>
      </c>
      <c r="X326" s="19"/>
      <c r="Y326" s="19"/>
      <c r="Z326" s="19"/>
      <c r="AA326" s="19"/>
    </row>
    <row r="327" spans="1:27" ht="14.25" customHeight="1" x14ac:dyDescent="0.3">
      <c r="A327" s="11">
        <v>326</v>
      </c>
      <c r="B327" s="11" t="s">
        <v>87</v>
      </c>
      <c r="C327" s="11" t="s">
        <v>23</v>
      </c>
      <c r="D327" s="10">
        <v>156</v>
      </c>
      <c r="E327" s="11" t="s">
        <v>195</v>
      </c>
      <c r="F327" s="10">
        <v>95600</v>
      </c>
      <c r="G327" s="11" t="s">
        <v>196</v>
      </c>
      <c r="H327" s="10">
        <v>804</v>
      </c>
      <c r="I327" s="10">
        <v>107996</v>
      </c>
      <c r="J327" s="10">
        <v>24492220</v>
      </c>
      <c r="K327" s="11"/>
      <c r="L327" s="30"/>
      <c r="M327" s="13">
        <f>+_xlfn.XLOOKUP(D327&amp;"-"&amp;E327,'[1]Listado Lotes'!$K$3:$K$385,'[1]Listado Lotes'!$E$3:$E$385)</f>
        <v>280.5</v>
      </c>
      <c r="N327" s="28" t="s">
        <v>233</v>
      </c>
      <c r="O327" s="14" t="e">
        <v>#N/A</v>
      </c>
      <c r="P327" s="15" t="e">
        <v>#N/A</v>
      </c>
      <c r="Q327" s="16" t="e">
        <v>#N/A</v>
      </c>
      <c r="R327" s="16" t="e">
        <v>#N/A</v>
      </c>
      <c r="S327" s="17" t="e">
        <v>#N/A</v>
      </c>
      <c r="T327" s="17" t="e">
        <v>#N/A</v>
      </c>
      <c r="U327" s="18"/>
      <c r="V327" s="18"/>
      <c r="W327" s="18" t="e">
        <v>#N/A</v>
      </c>
      <c r="X327" s="19"/>
      <c r="Y327" s="19"/>
      <c r="Z327" s="19"/>
      <c r="AA327" s="19"/>
    </row>
    <row r="328" spans="1:27" ht="14.25" customHeight="1" x14ac:dyDescent="0.3">
      <c r="A328" s="11">
        <v>327</v>
      </c>
      <c r="B328" s="11" t="s">
        <v>87</v>
      </c>
      <c r="C328" s="11" t="s">
        <v>23</v>
      </c>
      <c r="D328" s="10">
        <v>156</v>
      </c>
      <c r="E328" s="11" t="s">
        <v>197</v>
      </c>
      <c r="F328" s="10">
        <v>95601</v>
      </c>
      <c r="G328" s="11" t="s">
        <v>198</v>
      </c>
      <c r="H328" s="10">
        <v>804</v>
      </c>
      <c r="I328" s="10">
        <v>107997</v>
      </c>
      <c r="J328" s="10">
        <v>24492715</v>
      </c>
      <c r="K328" s="11"/>
      <c r="L328" s="30"/>
      <c r="M328" s="13">
        <f>+_xlfn.XLOOKUP(D328&amp;"-"&amp;E328,'[1]Listado Lotes'!$K$3:$K$385,'[1]Listado Lotes'!$E$3:$E$385)</f>
        <v>278</v>
      </c>
      <c r="N328" s="28" t="s">
        <v>233</v>
      </c>
      <c r="O328" s="14" t="e">
        <v>#N/A</v>
      </c>
      <c r="P328" s="15" t="e">
        <v>#N/A</v>
      </c>
      <c r="Q328" s="16" t="e">
        <v>#N/A</v>
      </c>
      <c r="R328" s="16" t="e">
        <v>#N/A</v>
      </c>
      <c r="S328" s="17" t="e">
        <v>#N/A</v>
      </c>
      <c r="T328" s="17" t="e">
        <v>#N/A</v>
      </c>
      <c r="U328" s="18"/>
      <c r="V328" s="18"/>
      <c r="W328" s="18" t="e">
        <v>#N/A</v>
      </c>
      <c r="X328" s="19"/>
      <c r="Y328" s="19"/>
      <c r="Z328" s="19"/>
      <c r="AA328" s="19"/>
    </row>
    <row r="329" spans="1:27" ht="14.25" customHeight="1" x14ac:dyDescent="0.3">
      <c r="A329" s="11">
        <v>328</v>
      </c>
      <c r="B329" s="11" t="s">
        <v>87</v>
      </c>
      <c r="C329" s="11" t="s">
        <v>23</v>
      </c>
      <c r="D329" s="10">
        <v>156</v>
      </c>
      <c r="E329" s="11" t="s">
        <v>199</v>
      </c>
      <c r="F329" s="10">
        <v>95602</v>
      </c>
      <c r="G329" s="11" t="s">
        <v>200</v>
      </c>
      <c r="H329" s="10">
        <v>804</v>
      </c>
      <c r="I329" s="10">
        <v>107998</v>
      </c>
      <c r="J329" s="10">
        <v>24492720</v>
      </c>
      <c r="K329" s="11"/>
      <c r="L329" s="30"/>
      <c r="M329" s="13">
        <f>+_xlfn.XLOOKUP(D329&amp;"-"&amp;E329,'[1]Listado Lotes'!$K$3:$K$385,'[1]Listado Lotes'!$E$3:$E$385)</f>
        <v>275</v>
      </c>
      <c r="N329" s="28" t="s">
        <v>233</v>
      </c>
      <c r="O329" s="14" t="e">
        <v>#N/A</v>
      </c>
      <c r="P329" s="15" t="e">
        <v>#N/A</v>
      </c>
      <c r="Q329" s="16" t="e">
        <v>#N/A</v>
      </c>
      <c r="R329" s="16" t="e">
        <v>#N/A</v>
      </c>
      <c r="S329" s="17" t="e">
        <v>#N/A</v>
      </c>
      <c r="T329" s="17" t="e">
        <v>#N/A</v>
      </c>
      <c r="U329" s="18"/>
      <c r="V329" s="18"/>
      <c r="W329" s="18" t="e">
        <v>#N/A</v>
      </c>
      <c r="X329" s="19"/>
      <c r="Y329" s="19"/>
      <c r="Z329" s="19"/>
      <c r="AA329" s="19"/>
    </row>
    <row r="330" spans="1:27" ht="14.25" customHeight="1" x14ac:dyDescent="0.3">
      <c r="A330" s="11">
        <v>329</v>
      </c>
      <c r="B330" s="11" t="s">
        <v>87</v>
      </c>
      <c r="C330" s="11" t="s">
        <v>23</v>
      </c>
      <c r="D330" s="10">
        <v>156</v>
      </c>
      <c r="E330" s="11" t="s">
        <v>201</v>
      </c>
      <c r="F330" s="10">
        <v>95603</v>
      </c>
      <c r="G330" s="11" t="s">
        <v>202</v>
      </c>
      <c r="H330" s="10">
        <v>804</v>
      </c>
      <c r="I330" s="10">
        <v>107999</v>
      </c>
      <c r="J330" s="10">
        <v>24492725</v>
      </c>
      <c r="K330" s="11"/>
      <c r="L330" s="30"/>
      <c r="M330" s="13">
        <f>+_xlfn.XLOOKUP(D330&amp;"-"&amp;E330,'[1]Listado Lotes'!$K$3:$K$385,'[1]Listado Lotes'!$E$3:$E$385)</f>
        <v>266</v>
      </c>
      <c r="N330" s="28" t="s">
        <v>233</v>
      </c>
      <c r="O330" s="14" t="e">
        <v>#N/A</v>
      </c>
      <c r="P330" s="15" t="e">
        <v>#N/A</v>
      </c>
      <c r="Q330" s="16" t="e">
        <v>#N/A</v>
      </c>
      <c r="R330" s="16" t="e">
        <v>#N/A</v>
      </c>
      <c r="S330" s="17" t="e">
        <v>#N/A</v>
      </c>
      <c r="T330" s="17" t="e">
        <v>#N/A</v>
      </c>
      <c r="U330" s="18"/>
      <c r="V330" s="18"/>
      <c r="W330" s="18" t="e">
        <v>#N/A</v>
      </c>
      <c r="X330" s="19"/>
      <c r="Y330" s="19"/>
      <c r="Z330" s="19"/>
      <c r="AA330" s="19"/>
    </row>
    <row r="331" spans="1:27" ht="14.25" customHeight="1" x14ac:dyDescent="0.3">
      <c r="A331" s="11">
        <v>330</v>
      </c>
      <c r="B331" s="11" t="s">
        <v>87</v>
      </c>
      <c r="C331" s="11" t="s">
        <v>23</v>
      </c>
      <c r="D331" s="10">
        <v>156</v>
      </c>
      <c r="E331" s="10">
        <v>8</v>
      </c>
      <c r="F331" s="10">
        <v>95605</v>
      </c>
      <c r="G331" s="11" t="s">
        <v>203</v>
      </c>
      <c r="H331" s="10">
        <v>804</v>
      </c>
      <c r="I331" s="10">
        <v>107974</v>
      </c>
      <c r="J331" s="10">
        <v>24492728</v>
      </c>
      <c r="K331" s="11"/>
      <c r="L331" s="30"/>
      <c r="M331" s="13">
        <f>+_xlfn.XLOOKUP(D331&amp;"-"&amp;E331,'[1]Listado Lotes'!$K$3:$K$385,'[1]Listado Lotes'!$E$3:$E$385)</f>
        <v>298.69</v>
      </c>
      <c r="N331" s="28" t="s">
        <v>233</v>
      </c>
      <c r="O331" s="14" t="e">
        <v>#N/A</v>
      </c>
      <c r="P331" s="15" t="e">
        <v>#N/A</v>
      </c>
      <c r="Q331" s="16" t="e">
        <v>#N/A</v>
      </c>
      <c r="R331" s="16" t="e">
        <v>#N/A</v>
      </c>
      <c r="S331" s="17" t="e">
        <v>#N/A</v>
      </c>
      <c r="T331" s="17" t="e">
        <v>#N/A</v>
      </c>
      <c r="U331" s="18"/>
      <c r="V331" s="18"/>
      <c r="W331" s="18" t="e">
        <v>#N/A</v>
      </c>
      <c r="X331" s="19"/>
      <c r="Y331" s="19"/>
      <c r="Z331" s="19"/>
      <c r="AA331" s="19"/>
    </row>
    <row r="332" spans="1:27" ht="14.25" customHeight="1" x14ac:dyDescent="0.3">
      <c r="A332" s="11">
        <v>331</v>
      </c>
      <c r="B332" s="11" t="s">
        <v>87</v>
      </c>
      <c r="C332" s="11" t="s">
        <v>23</v>
      </c>
      <c r="D332" s="10">
        <v>156</v>
      </c>
      <c r="E332" s="10">
        <v>9</v>
      </c>
      <c r="F332" s="10">
        <v>95606</v>
      </c>
      <c r="G332" s="11" t="s">
        <v>204</v>
      </c>
      <c r="H332" s="10">
        <v>804</v>
      </c>
      <c r="I332" s="10">
        <v>107975</v>
      </c>
      <c r="J332" s="10">
        <v>24492751</v>
      </c>
      <c r="K332" s="11"/>
      <c r="L332" s="30"/>
      <c r="M332" s="13">
        <f>+_xlfn.XLOOKUP(D332&amp;"-"&amp;E332,'[1]Listado Lotes'!$K$3:$K$385,'[1]Listado Lotes'!$E$3:$E$385)</f>
        <v>298.69</v>
      </c>
      <c r="N332" s="28" t="s">
        <v>233</v>
      </c>
      <c r="O332" s="14" t="e">
        <v>#N/A</v>
      </c>
      <c r="P332" s="15" t="e">
        <v>#N/A</v>
      </c>
      <c r="Q332" s="16" t="e">
        <v>#N/A</v>
      </c>
      <c r="R332" s="16" t="e">
        <v>#N/A</v>
      </c>
      <c r="S332" s="17" t="e">
        <v>#N/A</v>
      </c>
      <c r="T332" s="17" t="e">
        <v>#N/A</v>
      </c>
      <c r="U332" s="18"/>
      <c r="V332" s="18"/>
      <c r="W332" s="18" t="e">
        <v>#N/A</v>
      </c>
      <c r="X332" s="19"/>
      <c r="Y332" s="19"/>
      <c r="Z332" s="19"/>
      <c r="AA332" s="19"/>
    </row>
    <row r="333" spans="1:27" ht="14.25" customHeight="1" x14ac:dyDescent="0.3">
      <c r="A333" s="11">
        <v>332</v>
      </c>
      <c r="B333" s="11" t="s">
        <v>87</v>
      </c>
      <c r="C333" s="11" t="s">
        <v>23</v>
      </c>
      <c r="D333" s="10">
        <v>156</v>
      </c>
      <c r="E333" s="10">
        <v>10</v>
      </c>
      <c r="F333" s="10">
        <v>95607</v>
      </c>
      <c r="G333" s="11" t="s">
        <v>205</v>
      </c>
      <c r="H333" s="10">
        <v>804</v>
      </c>
      <c r="I333" s="10">
        <v>107976</v>
      </c>
      <c r="J333" s="10">
        <v>24492782</v>
      </c>
      <c r="K333" s="11"/>
      <c r="L333" s="30"/>
      <c r="M333" s="13">
        <f>+_xlfn.XLOOKUP(D333&amp;"-"&amp;E333,'[1]Listado Lotes'!$K$3:$K$385,'[1]Listado Lotes'!$E$3:$E$385)</f>
        <v>298.69</v>
      </c>
      <c r="N333" s="28" t="s">
        <v>233</v>
      </c>
      <c r="O333" s="14" t="e">
        <v>#N/A</v>
      </c>
      <c r="P333" s="15" t="e">
        <v>#N/A</v>
      </c>
      <c r="Q333" s="16" t="e">
        <v>#N/A</v>
      </c>
      <c r="R333" s="16" t="e">
        <v>#N/A</v>
      </c>
      <c r="S333" s="17" t="e">
        <v>#N/A</v>
      </c>
      <c r="T333" s="17" t="e">
        <v>#N/A</v>
      </c>
      <c r="U333" s="18"/>
      <c r="V333" s="18"/>
      <c r="W333" s="18" t="e">
        <v>#N/A</v>
      </c>
      <c r="X333" s="19"/>
      <c r="Y333" s="19"/>
      <c r="Z333" s="19"/>
      <c r="AA333" s="19"/>
    </row>
    <row r="334" spans="1:27" ht="14.25" customHeight="1" x14ac:dyDescent="0.3">
      <c r="A334" s="11">
        <v>333</v>
      </c>
      <c r="B334" s="11" t="s">
        <v>87</v>
      </c>
      <c r="C334" s="11" t="s">
        <v>23</v>
      </c>
      <c r="D334" s="10">
        <v>156</v>
      </c>
      <c r="E334" s="10">
        <v>11</v>
      </c>
      <c r="F334" s="10">
        <v>95608</v>
      </c>
      <c r="G334" s="11" t="s">
        <v>206</v>
      </c>
      <c r="H334" s="10">
        <v>804</v>
      </c>
      <c r="I334" s="10">
        <v>107977</v>
      </c>
      <c r="J334" s="10">
        <v>24492790</v>
      </c>
      <c r="K334" s="11"/>
      <c r="L334" s="30"/>
      <c r="M334" s="13">
        <f>+_xlfn.XLOOKUP(D334&amp;"-"&amp;E334,'[1]Listado Lotes'!$K$3:$K$385,'[1]Listado Lotes'!$E$3:$E$385)</f>
        <v>298.69</v>
      </c>
      <c r="N334" s="28" t="s">
        <v>233</v>
      </c>
      <c r="O334" s="14" t="e">
        <v>#N/A</v>
      </c>
      <c r="P334" s="15" t="e">
        <v>#N/A</v>
      </c>
      <c r="Q334" s="16" t="e">
        <v>#N/A</v>
      </c>
      <c r="R334" s="16" t="e">
        <v>#N/A</v>
      </c>
      <c r="S334" s="17" t="e">
        <v>#N/A</v>
      </c>
      <c r="T334" s="17" t="e">
        <v>#N/A</v>
      </c>
      <c r="U334" s="18"/>
      <c r="V334" s="18"/>
      <c r="W334" s="18" t="e">
        <v>#N/A</v>
      </c>
      <c r="X334" s="19"/>
      <c r="Y334" s="19"/>
      <c r="Z334" s="19"/>
      <c r="AA334" s="19"/>
    </row>
    <row r="335" spans="1:27" ht="14.25" customHeight="1" x14ac:dyDescent="0.3">
      <c r="A335" s="11">
        <v>334</v>
      </c>
      <c r="B335" s="11" t="s">
        <v>87</v>
      </c>
      <c r="C335" s="11" t="s">
        <v>23</v>
      </c>
      <c r="D335" s="10">
        <v>156</v>
      </c>
      <c r="E335" s="10">
        <v>12</v>
      </c>
      <c r="F335" s="10">
        <v>95609</v>
      </c>
      <c r="G335" s="11" t="s">
        <v>207</v>
      </c>
      <c r="H335" s="10">
        <v>804</v>
      </c>
      <c r="I335" s="10">
        <v>107978</v>
      </c>
      <c r="J335" s="10">
        <v>24492797</v>
      </c>
      <c r="K335" s="11"/>
      <c r="L335" s="30"/>
      <c r="M335" s="13">
        <f>+_xlfn.XLOOKUP(D335&amp;"-"&amp;E335,'[1]Listado Lotes'!$K$3:$K$385,'[1]Listado Lotes'!$E$3:$E$385)</f>
        <v>298.69</v>
      </c>
      <c r="N335" s="28" t="s">
        <v>233</v>
      </c>
      <c r="O335" s="14" t="e">
        <v>#N/A</v>
      </c>
      <c r="P335" s="15" t="e">
        <v>#N/A</v>
      </c>
      <c r="Q335" s="16" t="e">
        <v>#N/A</v>
      </c>
      <c r="R335" s="16" t="e">
        <v>#N/A</v>
      </c>
      <c r="S335" s="17" t="e">
        <v>#N/A</v>
      </c>
      <c r="T335" s="17" t="e">
        <v>#N/A</v>
      </c>
      <c r="U335" s="18"/>
      <c r="V335" s="18"/>
      <c r="W335" s="18" t="e">
        <v>#N/A</v>
      </c>
      <c r="X335" s="19"/>
      <c r="Y335" s="19"/>
      <c r="Z335" s="19"/>
      <c r="AA335" s="19"/>
    </row>
    <row r="336" spans="1:27" ht="14.25" customHeight="1" x14ac:dyDescent="0.3">
      <c r="A336" s="11">
        <v>335</v>
      </c>
      <c r="B336" s="11" t="s">
        <v>87</v>
      </c>
      <c r="C336" s="11" t="s">
        <v>23</v>
      </c>
      <c r="D336" s="10">
        <v>156</v>
      </c>
      <c r="E336" s="10">
        <v>13</v>
      </c>
      <c r="F336" s="10">
        <v>95610</v>
      </c>
      <c r="G336" s="11" t="s">
        <v>208</v>
      </c>
      <c r="H336" s="10">
        <v>804</v>
      </c>
      <c r="I336" s="10">
        <v>107979</v>
      </c>
      <c r="J336" s="10">
        <v>24492803</v>
      </c>
      <c r="K336" s="11"/>
      <c r="L336" s="30"/>
      <c r="M336" s="13">
        <f>+_xlfn.XLOOKUP(D336&amp;"-"&amp;E336,'[1]Listado Lotes'!$K$3:$K$385,'[1]Listado Lotes'!$E$3:$E$385)</f>
        <v>298.69</v>
      </c>
      <c r="N336" s="28" t="s">
        <v>233</v>
      </c>
      <c r="O336" s="14" t="e">
        <v>#N/A</v>
      </c>
      <c r="P336" s="15" t="e">
        <v>#N/A</v>
      </c>
      <c r="Q336" s="16" t="e">
        <v>#N/A</v>
      </c>
      <c r="R336" s="16" t="e">
        <v>#N/A</v>
      </c>
      <c r="S336" s="17" t="e">
        <v>#N/A</v>
      </c>
      <c r="T336" s="17" t="e">
        <v>#N/A</v>
      </c>
      <c r="U336" s="18"/>
      <c r="V336" s="18"/>
      <c r="W336" s="18" t="e">
        <v>#N/A</v>
      </c>
      <c r="X336" s="19"/>
      <c r="Y336" s="19"/>
      <c r="Z336" s="19"/>
      <c r="AA336" s="19"/>
    </row>
    <row r="337" spans="1:27" ht="14.25" customHeight="1" x14ac:dyDescent="0.3">
      <c r="A337" s="11">
        <v>336</v>
      </c>
      <c r="B337" s="11" t="s">
        <v>87</v>
      </c>
      <c r="C337" s="11" t="s">
        <v>23</v>
      </c>
      <c r="D337" s="10">
        <v>156</v>
      </c>
      <c r="E337" s="10">
        <v>14</v>
      </c>
      <c r="F337" s="10">
        <v>95611</v>
      </c>
      <c r="G337" s="11" t="s">
        <v>209</v>
      </c>
      <c r="H337" s="10">
        <v>804</v>
      </c>
      <c r="I337" s="10">
        <v>107980</v>
      </c>
      <c r="J337" s="10">
        <v>24492823</v>
      </c>
      <c r="K337" s="11"/>
      <c r="L337" s="30"/>
      <c r="M337" s="13">
        <f>+_xlfn.XLOOKUP(D337&amp;"-"&amp;E337,'[1]Listado Lotes'!$K$3:$K$385,'[1]Listado Lotes'!$E$3:$E$385)</f>
        <v>298.69</v>
      </c>
      <c r="N337" s="28" t="s">
        <v>233</v>
      </c>
      <c r="O337" s="14" t="e">
        <v>#N/A</v>
      </c>
      <c r="P337" s="15" t="e">
        <v>#N/A</v>
      </c>
      <c r="Q337" s="16" t="e">
        <v>#N/A</v>
      </c>
      <c r="R337" s="16" t="e">
        <v>#N/A</v>
      </c>
      <c r="S337" s="17" t="e">
        <v>#N/A</v>
      </c>
      <c r="T337" s="17" t="e">
        <v>#N/A</v>
      </c>
      <c r="U337" s="18"/>
      <c r="V337" s="18"/>
      <c r="W337" s="18" t="e">
        <v>#N/A</v>
      </c>
      <c r="X337" s="19"/>
      <c r="Y337" s="19"/>
      <c r="Z337" s="19"/>
      <c r="AA337" s="19"/>
    </row>
    <row r="338" spans="1:27" ht="14.25" customHeight="1" x14ac:dyDescent="0.3">
      <c r="A338" s="11">
        <v>337</v>
      </c>
      <c r="B338" s="11" t="s">
        <v>87</v>
      </c>
      <c r="C338" s="11" t="s">
        <v>23</v>
      </c>
      <c r="D338" s="10">
        <v>156</v>
      </c>
      <c r="E338" s="10">
        <v>15</v>
      </c>
      <c r="F338" s="10">
        <v>95612</v>
      </c>
      <c r="G338" s="11" t="s">
        <v>210</v>
      </c>
      <c r="H338" s="10">
        <v>804</v>
      </c>
      <c r="I338" s="10">
        <v>107981</v>
      </c>
      <c r="J338" s="10">
        <v>24492858</v>
      </c>
      <c r="K338" s="11"/>
      <c r="L338" s="30"/>
      <c r="M338" s="13">
        <f>+_xlfn.XLOOKUP(D338&amp;"-"&amp;E338,'[1]Listado Lotes'!$K$3:$K$385,'[1]Listado Lotes'!$E$3:$E$385)</f>
        <v>298.69</v>
      </c>
      <c r="N338" s="28" t="s">
        <v>233</v>
      </c>
      <c r="O338" s="14" t="e">
        <v>#N/A</v>
      </c>
      <c r="P338" s="15" t="e">
        <v>#N/A</v>
      </c>
      <c r="Q338" s="16" t="e">
        <v>#N/A</v>
      </c>
      <c r="R338" s="16" t="e">
        <v>#N/A</v>
      </c>
      <c r="S338" s="17" t="e">
        <v>#N/A</v>
      </c>
      <c r="T338" s="17" t="e">
        <v>#N/A</v>
      </c>
      <c r="U338" s="18"/>
      <c r="V338" s="18"/>
      <c r="W338" s="18" t="e">
        <v>#N/A</v>
      </c>
      <c r="X338" s="19"/>
      <c r="Y338" s="19"/>
      <c r="Z338" s="19"/>
      <c r="AA338" s="19"/>
    </row>
    <row r="339" spans="1:27" ht="14.25" customHeight="1" x14ac:dyDescent="0.3">
      <c r="A339" s="11">
        <v>338</v>
      </c>
      <c r="B339" s="11" t="s">
        <v>87</v>
      </c>
      <c r="C339" s="11" t="s">
        <v>23</v>
      </c>
      <c r="D339" s="10">
        <v>156</v>
      </c>
      <c r="E339" s="10">
        <v>16</v>
      </c>
      <c r="F339" s="10">
        <v>95613</v>
      </c>
      <c r="G339" s="11" t="s">
        <v>211</v>
      </c>
      <c r="H339" s="10">
        <v>804</v>
      </c>
      <c r="I339" s="10">
        <v>107982</v>
      </c>
      <c r="J339" s="10">
        <v>24492861</v>
      </c>
      <c r="K339" s="11"/>
      <c r="L339" s="30"/>
      <c r="M339" s="13">
        <f>+_xlfn.XLOOKUP(D339&amp;"-"&amp;E339,'[1]Listado Lotes'!$K$3:$K$385,'[1]Listado Lotes'!$E$3:$E$385)</f>
        <v>298.69</v>
      </c>
      <c r="N339" s="28" t="s">
        <v>233</v>
      </c>
      <c r="O339" s="14" t="e">
        <v>#N/A</v>
      </c>
      <c r="P339" s="15" t="e">
        <v>#N/A</v>
      </c>
      <c r="Q339" s="16" t="e">
        <v>#N/A</v>
      </c>
      <c r="R339" s="16" t="e">
        <v>#N/A</v>
      </c>
      <c r="S339" s="17" t="e">
        <v>#N/A</v>
      </c>
      <c r="T339" s="17" t="e">
        <v>#N/A</v>
      </c>
      <c r="U339" s="18"/>
      <c r="V339" s="18"/>
      <c r="W339" s="18" t="e">
        <v>#N/A</v>
      </c>
      <c r="X339" s="19"/>
      <c r="Y339" s="19"/>
      <c r="Z339" s="19"/>
      <c r="AA339" s="19"/>
    </row>
    <row r="340" spans="1:27" ht="14.25" customHeight="1" x14ac:dyDescent="0.3">
      <c r="A340" s="11">
        <v>339</v>
      </c>
      <c r="B340" s="11" t="s">
        <v>87</v>
      </c>
      <c r="C340" s="11" t="s">
        <v>23</v>
      </c>
      <c r="D340" s="10">
        <v>156</v>
      </c>
      <c r="E340" s="10">
        <v>17</v>
      </c>
      <c r="F340" s="10">
        <v>95614</v>
      </c>
      <c r="G340" s="11" t="s">
        <v>212</v>
      </c>
      <c r="H340" s="10">
        <v>804</v>
      </c>
      <c r="I340" s="10">
        <v>107983</v>
      </c>
      <c r="J340" s="10">
        <v>24492864</v>
      </c>
      <c r="K340" s="11"/>
      <c r="L340" s="30"/>
      <c r="M340" s="13">
        <f>+_xlfn.XLOOKUP(D340&amp;"-"&amp;E340,'[1]Listado Lotes'!$K$3:$K$385,'[1]Listado Lotes'!$E$3:$E$385)</f>
        <v>298.69</v>
      </c>
      <c r="N340" s="28" t="s">
        <v>233</v>
      </c>
      <c r="O340" s="14" t="e">
        <v>#N/A</v>
      </c>
      <c r="P340" s="15" t="e">
        <v>#N/A</v>
      </c>
      <c r="Q340" s="16" t="e">
        <v>#N/A</v>
      </c>
      <c r="R340" s="16" t="e">
        <v>#N/A</v>
      </c>
      <c r="S340" s="17" t="e">
        <v>#N/A</v>
      </c>
      <c r="T340" s="17" t="e">
        <v>#N/A</v>
      </c>
      <c r="U340" s="18"/>
      <c r="V340" s="18"/>
      <c r="W340" s="18" t="e">
        <v>#N/A</v>
      </c>
      <c r="X340" s="19"/>
      <c r="Y340" s="19"/>
      <c r="Z340" s="19"/>
      <c r="AA340" s="19"/>
    </row>
    <row r="341" spans="1:27" ht="14.25" customHeight="1" x14ac:dyDescent="0.3">
      <c r="A341" s="11">
        <v>340</v>
      </c>
      <c r="B341" s="11" t="s">
        <v>87</v>
      </c>
      <c r="C341" s="11" t="s">
        <v>23</v>
      </c>
      <c r="D341" s="10">
        <v>156</v>
      </c>
      <c r="E341" s="10">
        <v>18</v>
      </c>
      <c r="F341" s="10">
        <v>95615</v>
      </c>
      <c r="G341" s="11" t="s">
        <v>213</v>
      </c>
      <c r="H341" s="10">
        <v>804</v>
      </c>
      <c r="I341" s="10">
        <v>107984</v>
      </c>
      <c r="J341" s="10">
        <v>24492867</v>
      </c>
      <c r="K341" s="11"/>
      <c r="L341" s="30"/>
      <c r="M341" s="13">
        <f>+_xlfn.XLOOKUP(D341&amp;"-"&amp;E341,'[1]Listado Lotes'!$K$3:$K$385,'[1]Listado Lotes'!$E$3:$E$385)</f>
        <v>226.59</v>
      </c>
      <c r="N341" s="28" t="s">
        <v>233</v>
      </c>
      <c r="O341" s="14" t="e">
        <v>#N/A</v>
      </c>
      <c r="P341" s="15" t="e">
        <v>#N/A</v>
      </c>
      <c r="Q341" s="16" t="e">
        <v>#N/A</v>
      </c>
      <c r="R341" s="16" t="e">
        <v>#N/A</v>
      </c>
      <c r="S341" s="17" t="e">
        <v>#N/A</v>
      </c>
      <c r="T341" s="17" t="e">
        <v>#N/A</v>
      </c>
      <c r="U341" s="18"/>
      <c r="V341" s="18"/>
      <c r="W341" s="18" t="e">
        <v>#N/A</v>
      </c>
      <c r="X341" s="19"/>
      <c r="Y341" s="19"/>
      <c r="Z341" s="19"/>
      <c r="AA341" s="19"/>
    </row>
    <row r="342" spans="1:27" ht="14.25" customHeight="1" x14ac:dyDescent="0.3">
      <c r="A342" s="11">
        <v>341</v>
      </c>
      <c r="B342" s="11" t="s">
        <v>87</v>
      </c>
      <c r="C342" s="11" t="s">
        <v>23</v>
      </c>
      <c r="D342" s="10">
        <v>156</v>
      </c>
      <c r="E342" s="10">
        <v>19</v>
      </c>
      <c r="F342" s="10">
        <v>95616</v>
      </c>
      <c r="G342" s="11" t="s">
        <v>214</v>
      </c>
      <c r="H342" s="10">
        <v>804</v>
      </c>
      <c r="I342" s="10">
        <v>107985</v>
      </c>
      <c r="J342" s="10">
        <v>24492870</v>
      </c>
      <c r="K342" s="11"/>
      <c r="L342" s="30"/>
      <c r="M342" s="13">
        <f>+_xlfn.XLOOKUP(D342&amp;"-"&amp;E342,'[1]Listado Lotes'!$K$3:$K$385,'[1]Listado Lotes'!$E$3:$E$385)</f>
        <v>230.83</v>
      </c>
      <c r="N342" s="28" t="s">
        <v>233</v>
      </c>
      <c r="O342" s="14" t="e">
        <v>#N/A</v>
      </c>
      <c r="P342" s="15" t="e">
        <v>#N/A</v>
      </c>
      <c r="Q342" s="16" t="e">
        <v>#N/A</v>
      </c>
      <c r="R342" s="16" t="e">
        <v>#N/A</v>
      </c>
      <c r="S342" s="17" t="e">
        <v>#N/A</v>
      </c>
      <c r="T342" s="17" t="e">
        <v>#N/A</v>
      </c>
      <c r="U342" s="18"/>
      <c r="V342" s="18"/>
      <c r="W342" s="18" t="e">
        <v>#N/A</v>
      </c>
      <c r="X342" s="19"/>
      <c r="Y342" s="19"/>
      <c r="Z342" s="19"/>
      <c r="AA342" s="19"/>
    </row>
    <row r="343" spans="1:27" ht="14.25" customHeight="1" x14ac:dyDescent="0.3">
      <c r="A343" s="11">
        <v>342</v>
      </c>
      <c r="B343" s="11" t="s">
        <v>87</v>
      </c>
      <c r="C343" s="11" t="s">
        <v>23</v>
      </c>
      <c r="D343" s="10">
        <v>156</v>
      </c>
      <c r="E343" s="10">
        <v>20</v>
      </c>
      <c r="F343" s="10">
        <v>95617</v>
      </c>
      <c r="G343" s="11" t="s">
        <v>215</v>
      </c>
      <c r="H343" s="10">
        <v>804</v>
      </c>
      <c r="I343" s="10">
        <v>107986</v>
      </c>
      <c r="J343" s="10">
        <v>24492873</v>
      </c>
      <c r="K343" s="11"/>
      <c r="L343" s="30"/>
      <c r="M343" s="13">
        <f>+_xlfn.XLOOKUP(D343&amp;"-"&amp;E343,'[1]Listado Lotes'!$K$3:$K$385,'[1]Listado Lotes'!$E$3:$E$385)</f>
        <v>230.88</v>
      </c>
      <c r="N343" s="28" t="s">
        <v>233</v>
      </c>
      <c r="O343" s="14" t="e">
        <v>#N/A</v>
      </c>
      <c r="P343" s="15" t="e">
        <v>#N/A</v>
      </c>
      <c r="Q343" s="16" t="e">
        <v>#N/A</v>
      </c>
      <c r="R343" s="16" t="e">
        <v>#N/A</v>
      </c>
      <c r="S343" s="17" t="e">
        <v>#N/A</v>
      </c>
      <c r="T343" s="17" t="e">
        <v>#N/A</v>
      </c>
      <c r="U343" s="18"/>
      <c r="V343" s="18"/>
      <c r="W343" s="18" t="e">
        <v>#N/A</v>
      </c>
      <c r="X343" s="19"/>
      <c r="Y343" s="19"/>
      <c r="Z343" s="19"/>
      <c r="AA343" s="19"/>
    </row>
    <row r="344" spans="1:27" ht="14.25" customHeight="1" x14ac:dyDescent="0.3">
      <c r="A344" s="11">
        <v>343</v>
      </c>
      <c r="B344" s="11" t="s">
        <v>87</v>
      </c>
      <c r="C344" s="11" t="s">
        <v>23</v>
      </c>
      <c r="D344" s="10">
        <v>156</v>
      </c>
      <c r="E344" s="10">
        <v>21</v>
      </c>
      <c r="F344" s="10">
        <v>95618</v>
      </c>
      <c r="G344" s="11" t="s">
        <v>216</v>
      </c>
      <c r="H344" s="10">
        <v>804</v>
      </c>
      <c r="I344" s="10">
        <v>107987</v>
      </c>
      <c r="J344" s="10">
        <v>24492879</v>
      </c>
      <c r="K344" s="11"/>
      <c r="L344" s="30"/>
      <c r="M344" s="13">
        <f>+_xlfn.XLOOKUP(D344&amp;"-"&amp;E344,'[1]Listado Lotes'!$K$3:$K$385,'[1]Listado Lotes'!$E$3:$E$385)</f>
        <v>230.88</v>
      </c>
      <c r="N344" s="28" t="s">
        <v>233</v>
      </c>
      <c r="O344" s="14" t="e">
        <v>#N/A</v>
      </c>
      <c r="P344" s="15" t="e">
        <v>#N/A</v>
      </c>
      <c r="Q344" s="16" t="e">
        <v>#N/A</v>
      </c>
      <c r="R344" s="16" t="e">
        <v>#N/A</v>
      </c>
      <c r="S344" s="17" t="e">
        <v>#N/A</v>
      </c>
      <c r="T344" s="17" t="e">
        <v>#N/A</v>
      </c>
      <c r="U344" s="18"/>
      <c r="V344" s="18"/>
      <c r="W344" s="18" t="e">
        <v>#N/A</v>
      </c>
      <c r="X344" s="19"/>
      <c r="Y344" s="19"/>
      <c r="Z344" s="19"/>
      <c r="AA344" s="19"/>
    </row>
    <row r="345" spans="1:27" ht="14.25" customHeight="1" x14ac:dyDescent="0.3">
      <c r="A345" s="11">
        <v>344</v>
      </c>
      <c r="B345" s="11" t="s">
        <v>87</v>
      </c>
      <c r="C345" s="11" t="s">
        <v>23</v>
      </c>
      <c r="D345" s="10">
        <v>156</v>
      </c>
      <c r="E345" s="10">
        <v>22</v>
      </c>
      <c r="F345" s="10">
        <v>95619</v>
      </c>
      <c r="G345" s="11" t="s">
        <v>217</v>
      </c>
      <c r="H345" s="10">
        <v>804</v>
      </c>
      <c r="I345" s="10">
        <v>107988</v>
      </c>
      <c r="J345" s="10">
        <v>24492880</v>
      </c>
      <c r="K345" s="11"/>
      <c r="L345" s="30"/>
      <c r="M345" s="13">
        <f>+_xlfn.XLOOKUP(D345&amp;"-"&amp;E345,'[1]Listado Lotes'!$K$3:$K$385,'[1]Listado Lotes'!$E$3:$E$385)</f>
        <v>230.93</v>
      </c>
      <c r="N345" s="28" t="s">
        <v>233</v>
      </c>
      <c r="O345" s="14" t="e">
        <v>#N/A</v>
      </c>
      <c r="P345" s="15" t="e">
        <v>#N/A</v>
      </c>
      <c r="Q345" s="16" t="e">
        <v>#N/A</v>
      </c>
      <c r="R345" s="16" t="e">
        <v>#N/A</v>
      </c>
      <c r="S345" s="17" t="e">
        <v>#N/A</v>
      </c>
      <c r="T345" s="17" t="e">
        <v>#N/A</v>
      </c>
      <c r="U345" s="18"/>
      <c r="V345" s="18"/>
      <c r="W345" s="18" t="e">
        <v>#N/A</v>
      </c>
      <c r="X345" s="19"/>
      <c r="Y345" s="19"/>
      <c r="Z345" s="19"/>
      <c r="AA345" s="19"/>
    </row>
    <row r="346" spans="1:27" ht="14.25" customHeight="1" x14ac:dyDescent="0.3">
      <c r="A346" s="11">
        <v>345</v>
      </c>
      <c r="B346" s="11" t="s">
        <v>87</v>
      </c>
      <c r="C346" s="11" t="s">
        <v>23</v>
      </c>
      <c r="D346" s="10">
        <v>156</v>
      </c>
      <c r="E346" s="10">
        <v>23</v>
      </c>
      <c r="F346" s="10">
        <v>95620</v>
      </c>
      <c r="G346" s="11" t="s">
        <v>218</v>
      </c>
      <c r="H346" s="10">
        <v>804</v>
      </c>
      <c r="I346" s="10">
        <v>107989</v>
      </c>
      <c r="J346" s="10">
        <v>24492882</v>
      </c>
      <c r="K346" s="11"/>
      <c r="L346" s="30"/>
      <c r="M346" s="13">
        <f>+_xlfn.XLOOKUP(D346&amp;"-"&amp;E346,'[1]Listado Lotes'!$K$3:$K$385,'[1]Listado Lotes'!$E$3:$E$385)</f>
        <v>226.48</v>
      </c>
      <c r="N346" s="28" t="s">
        <v>233</v>
      </c>
      <c r="O346" s="14" t="e">
        <v>#N/A</v>
      </c>
      <c r="P346" s="15" t="e">
        <v>#N/A</v>
      </c>
      <c r="Q346" s="16" t="e">
        <v>#N/A</v>
      </c>
      <c r="R346" s="16" t="e">
        <v>#N/A</v>
      </c>
      <c r="S346" s="17" t="e">
        <v>#N/A</v>
      </c>
      <c r="T346" s="17" t="e">
        <v>#N/A</v>
      </c>
      <c r="U346" s="18"/>
      <c r="V346" s="18"/>
      <c r="W346" s="18" t="e">
        <v>#N/A</v>
      </c>
      <c r="X346" s="19"/>
      <c r="Y346" s="19"/>
      <c r="Z346" s="19"/>
      <c r="AA346" s="19"/>
    </row>
    <row r="347" spans="1:27" ht="14.25" customHeight="1" x14ac:dyDescent="0.3">
      <c r="A347" s="11">
        <v>346</v>
      </c>
      <c r="B347" s="11" t="s">
        <v>87</v>
      </c>
      <c r="C347" s="11" t="s">
        <v>23</v>
      </c>
      <c r="D347" s="10">
        <v>156</v>
      </c>
      <c r="E347" s="10">
        <v>25</v>
      </c>
      <c r="F347" s="10">
        <v>95622</v>
      </c>
      <c r="G347" s="11" t="s">
        <v>219</v>
      </c>
      <c r="H347" s="10">
        <v>804</v>
      </c>
      <c r="I347" s="10">
        <v>107990</v>
      </c>
      <c r="J347" s="10">
        <v>24492885</v>
      </c>
      <c r="K347" s="11"/>
      <c r="L347" s="30"/>
      <c r="M347" s="13">
        <f>+_xlfn.XLOOKUP(D347&amp;"-"&amp;E347,'[1]Listado Lotes'!$K$3:$K$385,'[1]Listado Lotes'!$E$3:$E$385)</f>
        <v>298.69</v>
      </c>
      <c r="N347" s="28" t="s">
        <v>233</v>
      </c>
      <c r="O347" s="14" t="e">
        <v>#N/A</v>
      </c>
      <c r="P347" s="15" t="e">
        <v>#N/A</v>
      </c>
      <c r="Q347" s="16" t="e">
        <v>#N/A</v>
      </c>
      <c r="R347" s="16" t="e">
        <v>#N/A</v>
      </c>
      <c r="S347" s="17" t="e">
        <v>#N/A</v>
      </c>
      <c r="T347" s="17" t="e">
        <v>#N/A</v>
      </c>
      <c r="U347" s="18"/>
      <c r="V347" s="18"/>
      <c r="W347" s="18" t="e">
        <v>#N/A</v>
      </c>
      <c r="X347" s="19"/>
      <c r="Y347" s="19"/>
      <c r="Z347" s="19"/>
      <c r="AA347" s="19"/>
    </row>
    <row r="348" spans="1:27" ht="14.25" customHeight="1" x14ac:dyDescent="0.3">
      <c r="A348" s="11">
        <v>347</v>
      </c>
      <c r="B348" s="11" t="s">
        <v>87</v>
      </c>
      <c r="C348" s="11" t="s">
        <v>23</v>
      </c>
      <c r="D348" s="10">
        <v>156</v>
      </c>
      <c r="E348" s="10">
        <v>26</v>
      </c>
      <c r="F348" s="10">
        <v>95623</v>
      </c>
      <c r="G348" s="11" t="s">
        <v>220</v>
      </c>
      <c r="H348" s="10">
        <v>804</v>
      </c>
      <c r="I348" s="10">
        <v>107991</v>
      </c>
      <c r="J348" s="10">
        <v>24492897</v>
      </c>
      <c r="K348" s="11"/>
      <c r="L348" s="30"/>
      <c r="M348" s="13">
        <f>+_xlfn.XLOOKUP(D348&amp;"-"&amp;E348,'[1]Listado Lotes'!$K$3:$K$385,'[1]Listado Lotes'!$E$3:$E$385)</f>
        <v>298.69</v>
      </c>
      <c r="N348" s="28" t="s">
        <v>233</v>
      </c>
      <c r="O348" s="14" t="e">
        <v>#N/A</v>
      </c>
      <c r="P348" s="15" t="e">
        <v>#N/A</v>
      </c>
      <c r="Q348" s="16" t="e">
        <v>#N/A</v>
      </c>
      <c r="R348" s="16" t="e">
        <v>#N/A</v>
      </c>
      <c r="S348" s="17" t="e">
        <v>#N/A</v>
      </c>
      <c r="T348" s="17" t="e">
        <v>#N/A</v>
      </c>
      <c r="U348" s="18"/>
      <c r="V348" s="18"/>
      <c r="W348" s="18" t="e">
        <v>#N/A</v>
      </c>
      <c r="X348" s="19"/>
      <c r="Y348" s="19"/>
      <c r="Z348" s="19"/>
      <c r="AA348" s="19"/>
    </row>
    <row r="349" spans="1:27" ht="14.25" customHeight="1" x14ac:dyDescent="0.3">
      <c r="A349" s="11">
        <v>348</v>
      </c>
      <c r="B349" s="11" t="s">
        <v>87</v>
      </c>
      <c r="C349" s="11" t="s">
        <v>23</v>
      </c>
      <c r="D349" s="10">
        <v>156</v>
      </c>
      <c r="E349" s="10">
        <v>27</v>
      </c>
      <c r="F349" s="10">
        <v>95624</v>
      </c>
      <c r="G349" s="11" t="s">
        <v>221</v>
      </c>
      <c r="H349" s="10">
        <v>804</v>
      </c>
      <c r="I349" s="10">
        <v>107992</v>
      </c>
      <c r="J349" s="10">
        <v>24492901</v>
      </c>
      <c r="K349" s="11"/>
      <c r="L349" s="30"/>
      <c r="M349" s="13">
        <f>+_xlfn.XLOOKUP(D349&amp;"-"&amp;E349,'[1]Listado Lotes'!$K$3:$K$385,'[1]Listado Lotes'!$E$3:$E$385)</f>
        <v>298.69</v>
      </c>
      <c r="N349" s="28" t="s">
        <v>233</v>
      </c>
      <c r="O349" s="14" t="e">
        <v>#N/A</v>
      </c>
      <c r="P349" s="15" t="e">
        <v>#N/A</v>
      </c>
      <c r="Q349" s="16" t="e">
        <v>#N/A</v>
      </c>
      <c r="R349" s="16" t="e">
        <v>#N/A</v>
      </c>
      <c r="S349" s="17" t="e">
        <v>#N/A</v>
      </c>
      <c r="T349" s="17" t="e">
        <v>#N/A</v>
      </c>
      <c r="U349" s="18"/>
      <c r="V349" s="18"/>
      <c r="W349" s="18" t="e">
        <v>#N/A</v>
      </c>
      <c r="X349" s="19"/>
      <c r="Y349" s="19"/>
      <c r="Z349" s="19"/>
      <c r="AA349" s="19"/>
    </row>
    <row r="350" spans="1:27" ht="14.25" customHeight="1" x14ac:dyDescent="0.3">
      <c r="A350" s="11">
        <v>349</v>
      </c>
      <c r="B350" s="11" t="s">
        <v>87</v>
      </c>
      <c r="C350" s="11" t="s">
        <v>23</v>
      </c>
      <c r="D350" s="10">
        <v>156</v>
      </c>
      <c r="E350" s="10">
        <v>28</v>
      </c>
      <c r="F350" s="10">
        <v>95625</v>
      </c>
      <c r="G350" s="11" t="s">
        <v>222</v>
      </c>
      <c r="H350" s="10">
        <v>804</v>
      </c>
      <c r="I350" s="10">
        <v>107993</v>
      </c>
      <c r="J350" s="10">
        <v>24492906</v>
      </c>
      <c r="K350" s="11"/>
      <c r="L350" s="30"/>
      <c r="M350" s="13">
        <f>+_xlfn.XLOOKUP(D350&amp;"-"&amp;E350,'[1]Listado Lotes'!$K$3:$K$385,'[1]Listado Lotes'!$E$3:$E$385)</f>
        <v>298.69</v>
      </c>
      <c r="N350" s="28" t="s">
        <v>233</v>
      </c>
      <c r="O350" s="14" t="e">
        <v>#N/A</v>
      </c>
      <c r="P350" s="15" t="e">
        <v>#N/A</v>
      </c>
      <c r="Q350" s="16" t="e">
        <v>#N/A</v>
      </c>
      <c r="R350" s="16" t="e">
        <v>#N/A</v>
      </c>
      <c r="S350" s="17" t="e">
        <v>#N/A</v>
      </c>
      <c r="T350" s="17" t="e">
        <v>#N/A</v>
      </c>
      <c r="U350" s="18"/>
      <c r="V350" s="18"/>
      <c r="W350" s="18" t="e">
        <v>#N/A</v>
      </c>
      <c r="X350" s="19"/>
      <c r="Y350" s="19"/>
      <c r="Z350" s="19"/>
      <c r="AA350" s="19"/>
    </row>
    <row r="351" spans="1:27" ht="14.25" customHeight="1" x14ac:dyDescent="0.3">
      <c r="A351" s="11">
        <v>350</v>
      </c>
      <c r="B351" s="11" t="s">
        <v>87</v>
      </c>
      <c r="C351" s="11" t="s">
        <v>23</v>
      </c>
      <c r="D351" s="10">
        <v>156</v>
      </c>
      <c r="E351" s="10">
        <v>31</v>
      </c>
      <c r="F351" s="10">
        <v>95628</v>
      </c>
      <c r="G351" s="11" t="s">
        <v>223</v>
      </c>
      <c r="H351" s="10">
        <v>804</v>
      </c>
      <c r="I351" s="10">
        <v>107994</v>
      </c>
      <c r="J351" s="10">
        <v>24492910</v>
      </c>
      <c r="K351" s="11"/>
      <c r="L351" s="30"/>
      <c r="M351" s="13">
        <v>298</v>
      </c>
      <c r="N351" s="28" t="s">
        <v>233</v>
      </c>
      <c r="O351" s="14" t="e">
        <v>#N/A</v>
      </c>
      <c r="P351" s="15" t="e">
        <v>#N/A</v>
      </c>
      <c r="Q351" s="16" t="e">
        <v>#N/A</v>
      </c>
      <c r="R351" s="16" t="e">
        <v>#N/A</v>
      </c>
      <c r="S351" s="17" t="e">
        <v>#N/A</v>
      </c>
      <c r="T351" s="17" t="e">
        <v>#N/A</v>
      </c>
      <c r="U351" s="18"/>
      <c r="V351" s="18"/>
      <c r="W351" s="18" t="e">
        <v>#N/A</v>
      </c>
      <c r="X351" s="19"/>
      <c r="Y351" s="19"/>
      <c r="Z351" s="19"/>
      <c r="AA351" s="19"/>
    </row>
    <row r="352" spans="1:27" ht="14.25" customHeight="1" x14ac:dyDescent="0.3">
      <c r="A352" s="11">
        <v>351</v>
      </c>
      <c r="B352" s="11" t="s">
        <v>87</v>
      </c>
      <c r="C352" s="11" t="s">
        <v>23</v>
      </c>
      <c r="D352" s="10">
        <v>156</v>
      </c>
      <c r="E352" s="10">
        <v>33</v>
      </c>
      <c r="F352" s="10">
        <v>95530</v>
      </c>
      <c r="G352" s="11" t="s">
        <v>224</v>
      </c>
      <c r="H352" s="10">
        <v>804</v>
      </c>
      <c r="I352" s="10">
        <v>107995</v>
      </c>
      <c r="J352" s="10">
        <v>24492916</v>
      </c>
      <c r="K352" s="11"/>
      <c r="L352" s="30"/>
      <c r="M352" s="13">
        <v>299</v>
      </c>
      <c r="N352" s="28" t="s">
        <v>233</v>
      </c>
      <c r="O352" s="14" t="e">
        <v>#N/A</v>
      </c>
      <c r="P352" s="15" t="e">
        <v>#N/A</v>
      </c>
      <c r="Q352" s="16" t="e">
        <v>#N/A</v>
      </c>
      <c r="R352" s="16" t="e">
        <v>#N/A</v>
      </c>
      <c r="S352" s="17" t="e">
        <v>#N/A</v>
      </c>
      <c r="T352" s="17" t="e">
        <v>#N/A</v>
      </c>
      <c r="U352" s="18"/>
      <c r="V352" s="18"/>
      <c r="W352" s="18" t="e">
        <v>#N/A</v>
      </c>
      <c r="X352" s="19"/>
      <c r="Y352" s="19"/>
      <c r="Z352" s="19"/>
      <c r="AA352" s="19"/>
    </row>
    <row r="353" spans="5:23" ht="14.25" customHeight="1" x14ac:dyDescent="0.3">
      <c r="M353" s="1"/>
      <c r="N353" s="31"/>
      <c r="O353" s="31"/>
      <c r="P353" s="31"/>
      <c r="Q353" s="32"/>
      <c r="R353" s="32"/>
      <c r="S353" s="31"/>
      <c r="T353" s="31"/>
      <c r="U353" s="33"/>
      <c r="V353" s="33"/>
      <c r="W353" s="2"/>
    </row>
    <row r="354" spans="5:23" ht="14.25" customHeight="1" x14ac:dyDescent="0.3">
      <c r="M354" s="1"/>
      <c r="N354" s="31"/>
      <c r="O354" s="31"/>
      <c r="P354" s="31"/>
      <c r="Q354" s="32"/>
      <c r="R354" s="32"/>
      <c r="S354" s="31"/>
      <c r="T354" s="31"/>
      <c r="U354" s="33"/>
      <c r="V354" s="33"/>
      <c r="W354" s="2"/>
    </row>
    <row r="355" spans="5:23" ht="14.25" customHeight="1" x14ac:dyDescent="0.3">
      <c r="M355" s="1"/>
      <c r="N355" s="31"/>
      <c r="O355" s="31"/>
      <c r="P355" s="31"/>
      <c r="Q355" s="32"/>
      <c r="R355" s="32"/>
      <c r="S355" s="31"/>
      <c r="T355" s="31"/>
      <c r="U355" s="33"/>
      <c r="V355" s="33"/>
      <c r="W355" s="2"/>
    </row>
    <row r="356" spans="5:23" ht="14.25" customHeight="1" x14ac:dyDescent="0.3">
      <c r="M356" s="1"/>
      <c r="N356" s="31"/>
      <c r="O356" s="31"/>
      <c r="P356" s="31"/>
      <c r="Q356" s="32"/>
      <c r="R356" s="32"/>
      <c r="S356" s="31"/>
      <c r="T356" s="31"/>
      <c r="U356" s="33"/>
      <c r="V356" s="33"/>
      <c r="W356" s="2"/>
    </row>
    <row r="357" spans="5:23" ht="14.25" customHeight="1" x14ac:dyDescent="0.3">
      <c r="M357" s="1"/>
      <c r="N357" s="31"/>
      <c r="O357" s="31"/>
      <c r="P357" s="31"/>
      <c r="Q357" s="32"/>
      <c r="R357" s="32"/>
      <c r="S357" s="31"/>
      <c r="T357" s="31"/>
      <c r="U357" s="33"/>
      <c r="V357" s="33"/>
      <c r="W357" s="2"/>
    </row>
    <row r="358" spans="5:23" ht="14.25" customHeight="1" x14ac:dyDescent="0.3">
      <c r="M358" s="1"/>
      <c r="N358" s="31"/>
      <c r="O358" s="31"/>
      <c r="P358" s="31"/>
      <c r="Q358" s="32"/>
      <c r="R358" s="32"/>
      <c r="S358" s="31"/>
      <c r="T358" s="31"/>
      <c r="U358" s="33"/>
      <c r="V358" s="33"/>
      <c r="W358" s="2"/>
    </row>
    <row r="359" spans="5:23" ht="14.25" customHeight="1" x14ac:dyDescent="0.3">
      <c r="M359" s="1"/>
      <c r="N359" s="31"/>
      <c r="O359" s="31"/>
      <c r="P359" s="31"/>
      <c r="Q359" s="32"/>
      <c r="R359" s="32"/>
      <c r="S359" s="31"/>
      <c r="T359" s="31"/>
      <c r="U359" s="33"/>
      <c r="V359" s="33"/>
      <c r="W359" s="2"/>
    </row>
    <row r="360" spans="5:23" ht="14.25" customHeight="1" x14ac:dyDescent="0.3">
      <c r="E360" s="1"/>
      <c r="F360" s="1"/>
      <c r="G360" s="1"/>
      <c r="H360" s="1"/>
      <c r="I360" s="1"/>
      <c r="J360" s="1"/>
      <c r="K360" s="1"/>
      <c r="L360" s="1"/>
      <c r="M360" s="1"/>
      <c r="N360" s="31"/>
      <c r="O360" s="31"/>
      <c r="P360" s="31"/>
      <c r="Q360" s="32"/>
      <c r="R360" s="32"/>
      <c r="S360" s="31"/>
      <c r="T360" s="31"/>
      <c r="U360" s="33"/>
      <c r="V360" s="33"/>
      <c r="W360" s="2"/>
    </row>
    <row r="361" spans="5:23" ht="14.25" customHeight="1" x14ac:dyDescent="0.3">
      <c r="E361" s="1"/>
      <c r="F361" s="1"/>
      <c r="G361" s="1"/>
      <c r="H361" s="1"/>
      <c r="I361" s="1"/>
      <c r="J361" s="1"/>
      <c r="K361" s="1"/>
      <c r="L361" s="1"/>
      <c r="M361" s="1"/>
      <c r="N361" s="31"/>
      <c r="O361" s="31"/>
      <c r="P361" s="31"/>
      <c r="Q361" s="32"/>
      <c r="R361" s="32"/>
      <c r="S361" s="31"/>
      <c r="T361" s="31"/>
      <c r="U361" s="33"/>
      <c r="V361" s="33"/>
      <c r="W361" s="2"/>
    </row>
    <row r="362" spans="5:23" ht="14.25" customHeight="1" x14ac:dyDescent="0.3">
      <c r="M362" s="1"/>
      <c r="N362" s="31"/>
      <c r="O362" s="31"/>
      <c r="P362" s="31"/>
      <c r="Q362" s="32"/>
      <c r="R362" s="32"/>
      <c r="S362" s="31"/>
      <c r="T362" s="31"/>
      <c r="U362" s="33"/>
      <c r="V362" s="33"/>
      <c r="W362" s="2"/>
    </row>
    <row r="363" spans="5:23" ht="14.25" customHeight="1" x14ac:dyDescent="0.3">
      <c r="M363" s="1"/>
      <c r="N363" s="31"/>
      <c r="O363" s="31"/>
      <c r="P363" s="31"/>
      <c r="Q363" s="32"/>
      <c r="R363" s="32"/>
      <c r="S363" s="31"/>
      <c r="T363" s="31"/>
      <c r="U363" s="33"/>
      <c r="V363" s="33"/>
      <c r="W363" s="2"/>
    </row>
    <row r="364" spans="5:23" ht="14.25" customHeight="1" x14ac:dyDescent="0.3">
      <c r="M364" s="1"/>
      <c r="N364" s="31"/>
      <c r="O364" s="31"/>
      <c r="P364" s="31"/>
      <c r="Q364" s="32"/>
      <c r="R364" s="32"/>
      <c r="S364" s="31"/>
      <c r="T364" s="31"/>
      <c r="U364" s="33"/>
      <c r="V364" s="33"/>
      <c r="W364" s="2"/>
    </row>
    <row r="365" spans="5:23" ht="14.25" customHeight="1" x14ac:dyDescent="0.3">
      <c r="M365" s="1"/>
      <c r="N365" s="31"/>
      <c r="O365" s="31"/>
      <c r="P365" s="31"/>
      <c r="Q365" s="32"/>
      <c r="R365" s="32"/>
      <c r="S365" s="31"/>
      <c r="T365" s="31"/>
      <c r="U365" s="33"/>
      <c r="V365" s="33"/>
      <c r="W365" s="2"/>
    </row>
    <row r="366" spans="5:23" ht="14.25" customHeight="1" x14ac:dyDescent="0.3">
      <c r="M366" s="1"/>
      <c r="N366" s="31"/>
      <c r="O366" s="31"/>
      <c r="P366" s="31"/>
      <c r="Q366" s="32"/>
      <c r="R366" s="32"/>
      <c r="S366" s="31"/>
      <c r="T366" s="31"/>
      <c r="U366" s="33"/>
      <c r="V366" s="33"/>
      <c r="W366" s="2"/>
    </row>
    <row r="367" spans="5:23" ht="14.25" customHeight="1" x14ac:dyDescent="0.3">
      <c r="M367" s="1"/>
      <c r="N367" s="31"/>
      <c r="O367" s="31"/>
      <c r="P367" s="31"/>
      <c r="Q367" s="32"/>
      <c r="R367" s="32"/>
      <c r="S367" s="31"/>
      <c r="T367" s="31"/>
      <c r="U367" s="33"/>
      <c r="V367" s="33"/>
      <c r="W367" s="2"/>
    </row>
    <row r="368" spans="5:23" ht="14.25" customHeight="1" x14ac:dyDescent="0.3">
      <c r="M368" s="1"/>
      <c r="N368" s="31"/>
      <c r="O368" s="31"/>
      <c r="P368" s="31"/>
      <c r="Q368" s="32"/>
      <c r="R368" s="32"/>
      <c r="S368" s="31"/>
      <c r="T368" s="31"/>
      <c r="U368" s="33"/>
      <c r="V368" s="33"/>
      <c r="W368" s="2"/>
    </row>
    <row r="369" spans="13:23" ht="14.25" customHeight="1" x14ac:dyDescent="0.3">
      <c r="M369" s="1"/>
      <c r="N369" s="31"/>
      <c r="O369" s="31"/>
      <c r="P369" s="31"/>
      <c r="Q369" s="32"/>
      <c r="R369" s="32"/>
      <c r="S369" s="31"/>
      <c r="T369" s="31"/>
      <c r="U369" s="33"/>
      <c r="V369" s="33"/>
      <c r="W369" s="2"/>
    </row>
    <row r="370" spans="13:23" ht="14.25" customHeight="1" x14ac:dyDescent="0.3">
      <c r="M370" s="1"/>
      <c r="N370" s="31"/>
      <c r="O370" s="31"/>
      <c r="P370" s="31"/>
      <c r="Q370" s="32"/>
      <c r="R370" s="32"/>
      <c r="S370" s="31"/>
      <c r="T370" s="31"/>
      <c r="U370" s="33"/>
      <c r="V370" s="33"/>
      <c r="W370" s="2"/>
    </row>
    <row r="371" spans="13:23" ht="14.25" customHeight="1" x14ac:dyDescent="0.3">
      <c r="M371" s="1"/>
      <c r="N371" s="31"/>
      <c r="O371" s="31"/>
      <c r="P371" s="31"/>
      <c r="Q371" s="32"/>
      <c r="R371" s="32"/>
      <c r="S371" s="31"/>
      <c r="T371" s="31"/>
      <c r="U371" s="33"/>
      <c r="V371" s="33"/>
      <c r="W371" s="2"/>
    </row>
    <row r="372" spans="13:23" ht="14.25" customHeight="1" x14ac:dyDescent="0.3">
      <c r="M372" s="1"/>
      <c r="N372" s="31"/>
      <c r="O372" s="31"/>
      <c r="P372" s="31"/>
      <c r="Q372" s="32"/>
      <c r="R372" s="32"/>
      <c r="S372" s="31"/>
      <c r="T372" s="31"/>
      <c r="U372" s="33"/>
      <c r="V372" s="33"/>
      <c r="W372" s="2"/>
    </row>
    <row r="373" spans="13:23" ht="14.25" customHeight="1" x14ac:dyDescent="0.3">
      <c r="M373" s="1"/>
      <c r="N373" s="31"/>
      <c r="O373" s="31"/>
      <c r="P373" s="31"/>
      <c r="Q373" s="32"/>
      <c r="R373" s="32"/>
      <c r="S373" s="31"/>
      <c r="T373" s="31"/>
      <c r="U373" s="33"/>
      <c r="V373" s="33"/>
      <c r="W373" s="2"/>
    </row>
    <row r="374" spans="13:23" ht="14.25" customHeight="1" x14ac:dyDescent="0.3">
      <c r="M374" s="1"/>
      <c r="N374" s="31"/>
      <c r="O374" s="31"/>
      <c r="P374" s="31"/>
      <c r="Q374" s="32"/>
      <c r="R374" s="32"/>
      <c r="S374" s="31"/>
      <c r="T374" s="31"/>
      <c r="U374" s="33"/>
      <c r="V374" s="33"/>
      <c r="W374" s="2"/>
    </row>
    <row r="375" spans="13:23" ht="14.25" customHeight="1" x14ac:dyDescent="0.3">
      <c r="M375" s="1"/>
      <c r="N375" s="31"/>
      <c r="O375" s="31"/>
      <c r="P375" s="31"/>
      <c r="Q375" s="32"/>
      <c r="R375" s="32"/>
      <c r="S375" s="31"/>
      <c r="T375" s="31"/>
      <c r="U375" s="33"/>
      <c r="V375" s="33"/>
      <c r="W375" s="2"/>
    </row>
    <row r="376" spans="13:23" ht="14.25" customHeight="1" x14ac:dyDescent="0.3">
      <c r="M376" s="1"/>
      <c r="N376" s="31"/>
      <c r="O376" s="31"/>
      <c r="P376" s="31"/>
      <c r="Q376" s="32"/>
      <c r="R376" s="32"/>
      <c r="S376" s="31"/>
      <c r="T376" s="31"/>
      <c r="U376" s="33"/>
      <c r="V376" s="33"/>
      <c r="W376" s="2"/>
    </row>
    <row r="377" spans="13:23" ht="14.25" customHeight="1" x14ac:dyDescent="0.3">
      <c r="M377" s="1"/>
      <c r="N377" s="31"/>
      <c r="O377" s="31"/>
      <c r="P377" s="31"/>
      <c r="Q377" s="32"/>
      <c r="R377" s="32"/>
      <c r="S377" s="31"/>
      <c r="T377" s="31"/>
      <c r="U377" s="33"/>
      <c r="V377" s="33"/>
      <c r="W377" s="2"/>
    </row>
    <row r="378" spans="13:23" ht="14.25" customHeight="1" x14ac:dyDescent="0.3">
      <c r="M378" s="1"/>
      <c r="N378" s="31"/>
      <c r="O378" s="31"/>
      <c r="P378" s="31"/>
      <c r="Q378" s="32"/>
      <c r="R378" s="32"/>
      <c r="S378" s="31"/>
      <c r="T378" s="31"/>
      <c r="U378" s="33"/>
      <c r="V378" s="33"/>
      <c r="W378" s="2"/>
    </row>
    <row r="379" spans="13:23" ht="14.25" customHeight="1" x14ac:dyDescent="0.3">
      <c r="M379" s="1"/>
      <c r="N379" s="31"/>
      <c r="O379" s="31"/>
      <c r="P379" s="31"/>
      <c r="Q379" s="32"/>
      <c r="R379" s="32"/>
      <c r="S379" s="31"/>
      <c r="T379" s="31"/>
      <c r="U379" s="33"/>
      <c r="V379" s="33"/>
      <c r="W379" s="2"/>
    </row>
    <row r="380" spans="13:23" ht="14.25" customHeight="1" x14ac:dyDescent="0.3">
      <c r="M380" s="1"/>
      <c r="N380" s="31"/>
      <c r="O380" s="31"/>
      <c r="P380" s="31"/>
      <c r="Q380" s="32"/>
      <c r="R380" s="32"/>
      <c r="S380" s="31"/>
      <c r="T380" s="31"/>
      <c r="U380" s="33"/>
      <c r="V380" s="33"/>
      <c r="W380" s="2"/>
    </row>
    <row r="381" spans="13:23" ht="14.25" customHeight="1" x14ac:dyDescent="0.3">
      <c r="M381" s="1"/>
      <c r="N381" s="31"/>
      <c r="O381" s="31"/>
      <c r="P381" s="31"/>
      <c r="Q381" s="32"/>
      <c r="R381" s="32"/>
      <c r="S381" s="31"/>
      <c r="T381" s="31"/>
      <c r="U381" s="33"/>
      <c r="V381" s="33"/>
      <c r="W381" s="2"/>
    </row>
    <row r="382" spans="13:23" ht="14.25" customHeight="1" x14ac:dyDescent="0.3">
      <c r="M382" s="1"/>
      <c r="N382" s="31"/>
      <c r="O382" s="31"/>
      <c r="P382" s="31"/>
      <c r="Q382" s="32"/>
      <c r="R382" s="32"/>
      <c r="S382" s="31"/>
      <c r="T382" s="31"/>
      <c r="U382" s="33"/>
      <c r="V382" s="33"/>
      <c r="W382" s="2"/>
    </row>
    <row r="383" spans="13:23" ht="14.25" customHeight="1" x14ac:dyDescent="0.3">
      <c r="M383" s="1"/>
      <c r="N383" s="31"/>
      <c r="O383" s="31"/>
      <c r="P383" s="31"/>
      <c r="Q383" s="32"/>
      <c r="R383" s="32"/>
      <c r="S383" s="31"/>
      <c r="T383" s="31"/>
      <c r="U383" s="33"/>
      <c r="V383" s="33"/>
      <c r="W383" s="2"/>
    </row>
    <row r="384" spans="13:23" ht="14.25" customHeight="1" x14ac:dyDescent="0.3">
      <c r="M384" s="1"/>
      <c r="N384" s="31"/>
      <c r="O384" s="31"/>
      <c r="P384" s="31"/>
      <c r="Q384" s="32"/>
      <c r="R384" s="32"/>
      <c r="S384" s="31"/>
      <c r="T384" s="31"/>
      <c r="U384" s="33"/>
      <c r="V384" s="33"/>
      <c r="W384" s="2"/>
    </row>
    <row r="385" spans="13:23" ht="14.25" customHeight="1" x14ac:dyDescent="0.3">
      <c r="M385" s="1"/>
      <c r="N385" s="31"/>
      <c r="O385" s="31"/>
      <c r="P385" s="31"/>
      <c r="Q385" s="32"/>
      <c r="R385" s="32"/>
      <c r="S385" s="31"/>
      <c r="T385" s="31"/>
      <c r="U385" s="33"/>
      <c r="V385" s="33"/>
      <c r="W385" s="2"/>
    </row>
    <row r="386" spans="13:23" ht="14.25" customHeight="1" x14ac:dyDescent="0.3">
      <c r="M386" s="1"/>
      <c r="N386" s="31"/>
      <c r="O386" s="31"/>
      <c r="P386" s="31"/>
      <c r="Q386" s="32"/>
      <c r="R386" s="32"/>
      <c r="S386" s="31"/>
      <c r="T386" s="31"/>
      <c r="U386" s="33"/>
      <c r="V386" s="33"/>
      <c r="W386" s="2"/>
    </row>
    <row r="387" spans="13:23" ht="14.25" customHeight="1" x14ac:dyDescent="0.3">
      <c r="M387" s="1"/>
      <c r="N387" s="31"/>
      <c r="O387" s="31"/>
      <c r="P387" s="31"/>
      <c r="Q387" s="32"/>
      <c r="R387" s="32"/>
      <c r="S387" s="31"/>
      <c r="T387" s="31"/>
      <c r="U387" s="33"/>
      <c r="V387" s="33"/>
      <c r="W387" s="2"/>
    </row>
    <row r="388" spans="13:23" ht="14.25" customHeight="1" x14ac:dyDescent="0.3">
      <c r="M388" s="1"/>
      <c r="N388" s="31"/>
      <c r="O388" s="31"/>
      <c r="P388" s="31"/>
      <c r="Q388" s="32"/>
      <c r="R388" s="32"/>
      <c r="S388" s="31"/>
      <c r="T388" s="31"/>
      <c r="U388" s="33"/>
      <c r="V388" s="33"/>
      <c r="W388" s="2"/>
    </row>
    <row r="389" spans="13:23" ht="14.25" customHeight="1" x14ac:dyDescent="0.3">
      <c r="M389" s="1"/>
      <c r="N389" s="31"/>
      <c r="O389" s="31"/>
      <c r="P389" s="31"/>
      <c r="Q389" s="32"/>
      <c r="R389" s="32"/>
      <c r="S389" s="31"/>
      <c r="T389" s="31"/>
      <c r="U389" s="33"/>
      <c r="V389" s="33"/>
      <c r="W389" s="2"/>
    </row>
    <row r="390" spans="13:23" ht="14.25" customHeight="1" x14ac:dyDescent="0.3">
      <c r="M390" s="1"/>
      <c r="N390" s="31"/>
      <c r="O390" s="31"/>
      <c r="P390" s="31"/>
      <c r="Q390" s="32"/>
      <c r="R390" s="32"/>
      <c r="S390" s="31"/>
      <c r="T390" s="31"/>
      <c r="U390" s="33"/>
      <c r="V390" s="33"/>
      <c r="W390" s="2"/>
    </row>
    <row r="391" spans="13:23" ht="14.25" customHeight="1" x14ac:dyDescent="0.3">
      <c r="M391" s="1"/>
      <c r="N391" s="31"/>
      <c r="O391" s="31"/>
      <c r="P391" s="31"/>
      <c r="Q391" s="32"/>
      <c r="R391" s="32"/>
      <c r="S391" s="31"/>
      <c r="T391" s="31"/>
      <c r="U391" s="33"/>
      <c r="V391" s="33"/>
      <c r="W391" s="2"/>
    </row>
    <row r="392" spans="13:23" ht="14.25" customHeight="1" x14ac:dyDescent="0.3">
      <c r="M392" s="1"/>
      <c r="N392" s="31"/>
      <c r="O392" s="31"/>
      <c r="P392" s="31"/>
      <c r="Q392" s="32"/>
      <c r="R392" s="32"/>
      <c r="S392" s="31"/>
      <c r="T392" s="31"/>
      <c r="U392" s="33"/>
      <c r="V392" s="33"/>
      <c r="W392" s="2"/>
    </row>
    <row r="393" spans="13:23" ht="14.25" customHeight="1" x14ac:dyDescent="0.3">
      <c r="M393" s="1"/>
      <c r="N393" s="31"/>
      <c r="O393" s="31"/>
      <c r="P393" s="31"/>
      <c r="Q393" s="32"/>
      <c r="R393" s="32"/>
      <c r="S393" s="31"/>
      <c r="T393" s="31"/>
      <c r="U393" s="33"/>
      <c r="V393" s="33"/>
      <c r="W393" s="2"/>
    </row>
    <row r="394" spans="13:23" ht="14.25" customHeight="1" x14ac:dyDescent="0.3">
      <c r="M394" s="1"/>
      <c r="N394" s="31"/>
      <c r="O394" s="31"/>
      <c r="P394" s="31"/>
      <c r="Q394" s="32"/>
      <c r="R394" s="32"/>
      <c r="S394" s="31"/>
      <c r="T394" s="31"/>
      <c r="U394" s="33"/>
      <c r="V394" s="33"/>
      <c r="W394" s="2"/>
    </row>
    <row r="395" spans="13:23" ht="14.25" customHeight="1" x14ac:dyDescent="0.3">
      <c r="M395" s="1"/>
      <c r="N395" s="31"/>
      <c r="O395" s="31"/>
      <c r="P395" s="31"/>
      <c r="Q395" s="32"/>
      <c r="R395" s="32"/>
      <c r="S395" s="31"/>
      <c r="T395" s="31"/>
      <c r="U395" s="33"/>
      <c r="V395" s="33"/>
      <c r="W395" s="2"/>
    </row>
    <row r="396" spans="13:23" ht="14.25" customHeight="1" x14ac:dyDescent="0.3">
      <c r="M396" s="1"/>
      <c r="N396" s="31"/>
      <c r="O396" s="31"/>
      <c r="P396" s="31"/>
      <c r="Q396" s="32"/>
      <c r="R396" s="32"/>
      <c r="S396" s="31"/>
      <c r="T396" s="31"/>
      <c r="U396" s="33"/>
      <c r="V396" s="33"/>
      <c r="W396" s="2"/>
    </row>
    <row r="397" spans="13:23" ht="14.25" customHeight="1" x14ac:dyDescent="0.3">
      <c r="M397" s="1"/>
      <c r="N397" s="31"/>
      <c r="O397" s="31"/>
      <c r="P397" s="31"/>
      <c r="Q397" s="32"/>
      <c r="R397" s="32"/>
      <c r="S397" s="31"/>
      <c r="T397" s="31"/>
      <c r="U397" s="33"/>
      <c r="V397" s="33"/>
      <c r="W397" s="2"/>
    </row>
    <row r="398" spans="13:23" ht="14.25" customHeight="1" x14ac:dyDescent="0.3">
      <c r="M398" s="1"/>
      <c r="N398" s="31"/>
      <c r="O398" s="31"/>
      <c r="P398" s="31"/>
      <c r="Q398" s="32"/>
      <c r="R398" s="32"/>
      <c r="S398" s="31"/>
      <c r="T398" s="31"/>
      <c r="U398" s="33"/>
      <c r="V398" s="33"/>
      <c r="W398" s="2"/>
    </row>
    <row r="399" spans="13:23" ht="14.25" customHeight="1" x14ac:dyDescent="0.3">
      <c r="M399" s="1"/>
      <c r="N399" s="31"/>
      <c r="O399" s="31"/>
      <c r="P399" s="31"/>
      <c r="Q399" s="32"/>
      <c r="R399" s="32"/>
      <c r="S399" s="31"/>
      <c r="T399" s="31"/>
      <c r="U399" s="33"/>
      <c r="V399" s="33"/>
      <c r="W399" s="2"/>
    </row>
    <row r="400" spans="13:23" ht="14.25" customHeight="1" x14ac:dyDescent="0.3">
      <c r="M400" s="1"/>
      <c r="N400" s="31"/>
      <c r="O400" s="31"/>
      <c r="P400" s="31"/>
      <c r="Q400" s="32"/>
      <c r="R400" s="32"/>
      <c r="S400" s="31"/>
      <c r="T400" s="31"/>
      <c r="U400" s="33"/>
      <c r="V400" s="33"/>
      <c r="W400" s="2"/>
    </row>
    <row r="401" spans="13:23" ht="14.25" customHeight="1" x14ac:dyDescent="0.3">
      <c r="M401" s="1"/>
      <c r="N401" s="31"/>
      <c r="O401" s="31"/>
      <c r="P401" s="31"/>
      <c r="Q401" s="32"/>
      <c r="R401" s="32"/>
      <c r="S401" s="31"/>
      <c r="T401" s="31"/>
      <c r="U401" s="33"/>
      <c r="V401" s="33"/>
      <c r="W401" s="2"/>
    </row>
    <row r="402" spans="13:23" ht="14.25" customHeight="1" x14ac:dyDescent="0.3">
      <c r="M402" s="1"/>
      <c r="N402" s="31"/>
      <c r="O402" s="31"/>
      <c r="P402" s="31"/>
      <c r="Q402" s="32"/>
      <c r="R402" s="32"/>
      <c r="S402" s="31"/>
      <c r="T402" s="31"/>
      <c r="U402" s="33"/>
      <c r="V402" s="33"/>
      <c r="W402" s="2"/>
    </row>
    <row r="403" spans="13:23" ht="14.25" customHeight="1" x14ac:dyDescent="0.3">
      <c r="M403" s="1"/>
      <c r="N403" s="31"/>
      <c r="O403" s="31"/>
      <c r="P403" s="31"/>
      <c r="Q403" s="32"/>
      <c r="R403" s="32"/>
      <c r="S403" s="31"/>
      <c r="T403" s="31"/>
      <c r="U403" s="33"/>
      <c r="V403" s="33"/>
      <c r="W403" s="2"/>
    </row>
    <row r="404" spans="13:23" ht="14.25" customHeight="1" x14ac:dyDescent="0.3">
      <c r="M404" s="1"/>
      <c r="N404" s="31"/>
      <c r="O404" s="31"/>
      <c r="P404" s="31"/>
      <c r="Q404" s="32"/>
      <c r="R404" s="32"/>
      <c r="S404" s="31"/>
      <c r="T404" s="31"/>
      <c r="U404" s="33"/>
      <c r="V404" s="33"/>
      <c r="W404" s="2"/>
    </row>
    <row r="405" spans="13:23" ht="14.25" customHeight="1" x14ac:dyDescent="0.3">
      <c r="M405" s="1"/>
      <c r="N405" s="31"/>
      <c r="O405" s="31"/>
      <c r="P405" s="31"/>
      <c r="Q405" s="32"/>
      <c r="R405" s="32"/>
      <c r="S405" s="31"/>
      <c r="T405" s="31"/>
      <c r="U405" s="33"/>
      <c r="V405" s="33"/>
      <c r="W405" s="2"/>
    </row>
    <row r="406" spans="13:23" ht="14.25" customHeight="1" x14ac:dyDescent="0.3">
      <c r="M406" s="1"/>
      <c r="N406" s="31"/>
      <c r="O406" s="31"/>
      <c r="P406" s="31"/>
      <c r="Q406" s="32"/>
      <c r="R406" s="32"/>
      <c r="S406" s="31"/>
      <c r="T406" s="31"/>
      <c r="U406" s="33"/>
      <c r="V406" s="33"/>
      <c r="W406" s="2"/>
    </row>
    <row r="407" spans="13:23" ht="14.25" customHeight="1" x14ac:dyDescent="0.3">
      <c r="M407" s="1"/>
      <c r="N407" s="31"/>
      <c r="O407" s="31"/>
      <c r="P407" s="31"/>
      <c r="Q407" s="32"/>
      <c r="R407" s="32"/>
      <c r="S407" s="31"/>
      <c r="T407" s="31"/>
      <c r="U407" s="33"/>
      <c r="V407" s="33"/>
      <c r="W407" s="2"/>
    </row>
    <row r="408" spans="13:23" ht="14.25" customHeight="1" x14ac:dyDescent="0.3">
      <c r="M408" s="1"/>
      <c r="N408" s="31"/>
      <c r="O408" s="31"/>
      <c r="P408" s="31"/>
      <c r="Q408" s="32"/>
      <c r="R408" s="32"/>
      <c r="S408" s="31"/>
      <c r="T408" s="31"/>
      <c r="U408" s="33"/>
      <c r="V408" s="33"/>
      <c r="W408" s="2"/>
    </row>
    <row r="409" spans="13:23" ht="14.25" customHeight="1" x14ac:dyDescent="0.3">
      <c r="M409" s="1"/>
      <c r="N409" s="31"/>
      <c r="O409" s="31"/>
      <c r="P409" s="31"/>
      <c r="Q409" s="32"/>
      <c r="R409" s="32"/>
      <c r="S409" s="31"/>
      <c r="T409" s="31"/>
      <c r="U409" s="33"/>
      <c r="V409" s="33"/>
      <c r="W409" s="2"/>
    </row>
    <row r="410" spans="13:23" ht="14.25" customHeight="1" x14ac:dyDescent="0.3">
      <c r="M410" s="1"/>
      <c r="N410" s="31"/>
      <c r="O410" s="31"/>
      <c r="P410" s="31"/>
      <c r="Q410" s="32"/>
      <c r="R410" s="32"/>
      <c r="S410" s="31"/>
      <c r="T410" s="31"/>
      <c r="U410" s="33"/>
      <c r="V410" s="33"/>
      <c r="W410" s="2"/>
    </row>
    <row r="411" spans="13:23" ht="14.25" customHeight="1" x14ac:dyDescent="0.3">
      <c r="M411" s="1"/>
      <c r="N411" s="31"/>
      <c r="O411" s="31"/>
      <c r="P411" s="31"/>
      <c r="Q411" s="32"/>
      <c r="R411" s="32"/>
      <c r="S411" s="31"/>
      <c r="T411" s="31"/>
      <c r="U411" s="33"/>
      <c r="V411" s="33"/>
      <c r="W411" s="2"/>
    </row>
    <row r="412" spans="13:23" ht="14.25" customHeight="1" x14ac:dyDescent="0.3">
      <c r="M412" s="1"/>
      <c r="N412" s="31"/>
      <c r="O412" s="31"/>
      <c r="P412" s="31"/>
      <c r="Q412" s="32"/>
      <c r="R412" s="32"/>
      <c r="S412" s="31"/>
      <c r="T412" s="31"/>
      <c r="U412" s="33"/>
      <c r="V412" s="33"/>
      <c r="W412" s="2"/>
    </row>
    <row r="413" spans="13:23" ht="14.25" customHeight="1" x14ac:dyDescent="0.3">
      <c r="M413" s="1"/>
      <c r="N413" s="31"/>
      <c r="O413" s="31"/>
      <c r="P413" s="31"/>
      <c r="Q413" s="32"/>
      <c r="R413" s="32"/>
      <c r="S413" s="31"/>
      <c r="T413" s="31"/>
      <c r="U413" s="33"/>
      <c r="V413" s="33"/>
      <c r="W413" s="2"/>
    </row>
    <row r="414" spans="13:23" ht="14.25" customHeight="1" x14ac:dyDescent="0.3">
      <c r="M414" s="1"/>
      <c r="N414" s="31"/>
      <c r="O414" s="31"/>
      <c r="P414" s="31"/>
      <c r="Q414" s="32"/>
      <c r="R414" s="32"/>
      <c r="S414" s="31"/>
      <c r="T414" s="31"/>
      <c r="U414" s="33"/>
      <c r="V414" s="33"/>
      <c r="W414" s="2"/>
    </row>
    <row r="415" spans="13:23" ht="14.25" customHeight="1" x14ac:dyDescent="0.3">
      <c r="M415" s="1"/>
      <c r="N415" s="31"/>
      <c r="O415" s="31"/>
      <c r="P415" s="31"/>
      <c r="Q415" s="32"/>
      <c r="R415" s="32"/>
      <c r="S415" s="31"/>
      <c r="T415" s="31"/>
      <c r="U415" s="33"/>
      <c r="V415" s="33"/>
      <c r="W415" s="2"/>
    </row>
    <row r="416" spans="13:23" ht="14.25" customHeight="1" x14ac:dyDescent="0.3">
      <c r="M416" s="1"/>
      <c r="N416" s="31"/>
      <c r="O416" s="31"/>
      <c r="P416" s="31"/>
      <c r="Q416" s="32"/>
      <c r="R416" s="32"/>
      <c r="S416" s="31"/>
      <c r="T416" s="31"/>
      <c r="U416" s="33"/>
      <c r="V416" s="33"/>
      <c r="W416" s="2"/>
    </row>
    <row r="417" spans="13:23" ht="14.25" customHeight="1" x14ac:dyDescent="0.3">
      <c r="M417" s="1"/>
      <c r="N417" s="31"/>
      <c r="O417" s="31"/>
      <c r="P417" s="31"/>
      <c r="Q417" s="32"/>
      <c r="R417" s="32"/>
      <c r="S417" s="31"/>
      <c r="T417" s="31"/>
      <c r="U417" s="33"/>
      <c r="V417" s="33"/>
      <c r="W417" s="2"/>
    </row>
    <row r="418" spans="13:23" ht="14.25" customHeight="1" x14ac:dyDescent="0.3">
      <c r="M418" s="1"/>
      <c r="N418" s="31"/>
      <c r="O418" s="31"/>
      <c r="P418" s="31"/>
      <c r="Q418" s="32"/>
      <c r="R418" s="32"/>
      <c r="S418" s="31"/>
      <c r="T418" s="31"/>
      <c r="U418" s="33"/>
      <c r="V418" s="33"/>
      <c r="W418" s="2"/>
    </row>
    <row r="419" spans="13:23" ht="14.25" customHeight="1" x14ac:dyDescent="0.3">
      <c r="M419" s="1"/>
      <c r="N419" s="31"/>
      <c r="O419" s="31"/>
      <c r="P419" s="31"/>
      <c r="Q419" s="32"/>
      <c r="R419" s="32"/>
      <c r="S419" s="31"/>
      <c r="T419" s="31"/>
      <c r="U419" s="33"/>
      <c r="V419" s="33"/>
      <c r="W419" s="2"/>
    </row>
    <row r="420" spans="13:23" ht="14.25" customHeight="1" x14ac:dyDescent="0.3">
      <c r="M420" s="1"/>
      <c r="N420" s="31"/>
      <c r="O420" s="31"/>
      <c r="P420" s="31"/>
      <c r="Q420" s="32"/>
      <c r="R420" s="32"/>
      <c r="S420" s="31"/>
      <c r="T420" s="31"/>
      <c r="U420" s="33"/>
      <c r="V420" s="33"/>
      <c r="W420" s="2"/>
    </row>
    <row r="421" spans="13:23" ht="14.25" customHeight="1" x14ac:dyDescent="0.3">
      <c r="M421" s="1"/>
      <c r="N421" s="31"/>
      <c r="O421" s="31"/>
      <c r="P421" s="31"/>
      <c r="Q421" s="32"/>
      <c r="R421" s="32"/>
      <c r="S421" s="31"/>
      <c r="T421" s="31"/>
      <c r="U421" s="33"/>
      <c r="V421" s="33"/>
      <c r="W421" s="2"/>
    </row>
    <row r="422" spans="13:23" ht="14.25" customHeight="1" x14ac:dyDescent="0.3">
      <c r="M422" s="1"/>
      <c r="N422" s="31"/>
      <c r="O422" s="31"/>
      <c r="P422" s="31"/>
      <c r="Q422" s="32"/>
      <c r="R422" s="32"/>
      <c r="S422" s="31"/>
      <c r="T422" s="31"/>
      <c r="U422" s="33"/>
      <c r="V422" s="33"/>
      <c r="W422" s="2"/>
    </row>
    <row r="423" spans="13:23" ht="14.25" customHeight="1" x14ac:dyDescent="0.3">
      <c r="M423" s="1"/>
      <c r="N423" s="31"/>
      <c r="O423" s="31"/>
      <c r="P423" s="31"/>
      <c r="Q423" s="32"/>
      <c r="R423" s="32"/>
      <c r="S423" s="31"/>
      <c r="T423" s="31"/>
      <c r="U423" s="33"/>
      <c r="V423" s="33"/>
      <c r="W423" s="2"/>
    </row>
    <row r="424" spans="13:23" ht="14.25" customHeight="1" x14ac:dyDescent="0.3">
      <c r="M424" s="1"/>
      <c r="N424" s="31"/>
      <c r="O424" s="31"/>
      <c r="P424" s="31"/>
      <c r="Q424" s="32"/>
      <c r="R424" s="32"/>
      <c r="S424" s="31"/>
      <c r="T424" s="31"/>
      <c r="U424" s="33"/>
      <c r="V424" s="33"/>
      <c r="W424" s="2"/>
    </row>
    <row r="425" spans="13:23" ht="14.25" customHeight="1" x14ac:dyDescent="0.3">
      <c r="M425" s="1"/>
      <c r="N425" s="31"/>
      <c r="O425" s="31"/>
      <c r="P425" s="31"/>
      <c r="Q425" s="32"/>
      <c r="R425" s="32"/>
      <c r="S425" s="31"/>
      <c r="T425" s="31"/>
      <c r="U425" s="33"/>
      <c r="V425" s="33"/>
      <c r="W425" s="2"/>
    </row>
    <row r="426" spans="13:23" ht="14.25" customHeight="1" x14ac:dyDescent="0.3">
      <c r="M426" s="1"/>
      <c r="N426" s="31"/>
      <c r="O426" s="31"/>
      <c r="P426" s="31"/>
      <c r="Q426" s="32"/>
      <c r="R426" s="32"/>
      <c r="S426" s="31"/>
      <c r="T426" s="31"/>
      <c r="U426" s="33"/>
      <c r="V426" s="33"/>
      <c r="W426" s="2"/>
    </row>
    <row r="427" spans="13:23" ht="14.25" customHeight="1" x14ac:dyDescent="0.3">
      <c r="M427" s="1"/>
      <c r="N427" s="31"/>
      <c r="O427" s="31"/>
      <c r="P427" s="31"/>
      <c r="Q427" s="32"/>
      <c r="R427" s="32"/>
      <c r="S427" s="31"/>
      <c r="T427" s="31"/>
      <c r="U427" s="33"/>
      <c r="V427" s="33"/>
      <c r="W427" s="2"/>
    </row>
    <row r="428" spans="13:23" ht="14.25" customHeight="1" x14ac:dyDescent="0.3">
      <c r="M428" s="1"/>
      <c r="N428" s="31"/>
      <c r="O428" s="31"/>
      <c r="P428" s="31"/>
      <c r="Q428" s="32"/>
      <c r="R428" s="32"/>
      <c r="S428" s="31"/>
      <c r="T428" s="31"/>
      <c r="U428" s="33"/>
      <c r="V428" s="33"/>
      <c r="W428" s="2"/>
    </row>
    <row r="429" spans="13:23" ht="14.25" customHeight="1" x14ac:dyDescent="0.3">
      <c r="M429" s="1"/>
      <c r="N429" s="31"/>
      <c r="O429" s="31"/>
      <c r="P429" s="31"/>
      <c r="Q429" s="32"/>
      <c r="R429" s="32"/>
      <c r="S429" s="31"/>
      <c r="T429" s="31"/>
      <c r="U429" s="33"/>
      <c r="V429" s="33"/>
      <c r="W429" s="2"/>
    </row>
    <row r="430" spans="13:23" ht="14.25" customHeight="1" x14ac:dyDescent="0.3">
      <c r="M430" s="1"/>
      <c r="N430" s="31"/>
      <c r="O430" s="31"/>
      <c r="P430" s="31"/>
      <c r="Q430" s="32"/>
      <c r="R430" s="32"/>
      <c r="S430" s="31"/>
      <c r="T430" s="31"/>
      <c r="U430" s="33"/>
      <c r="V430" s="33"/>
      <c r="W430" s="2"/>
    </row>
    <row r="431" spans="13:23" ht="14.25" customHeight="1" x14ac:dyDescent="0.3">
      <c r="M431" s="1"/>
      <c r="N431" s="31"/>
      <c r="O431" s="31"/>
      <c r="P431" s="31"/>
      <c r="Q431" s="32"/>
      <c r="R431" s="32"/>
      <c r="S431" s="31"/>
      <c r="T431" s="31"/>
      <c r="U431" s="33"/>
      <c r="V431" s="33"/>
      <c r="W431" s="2"/>
    </row>
    <row r="432" spans="13:23" ht="14.25" customHeight="1" x14ac:dyDescent="0.3">
      <c r="M432" s="1"/>
      <c r="N432" s="31"/>
      <c r="O432" s="31"/>
      <c r="P432" s="31"/>
      <c r="Q432" s="32"/>
      <c r="R432" s="32"/>
      <c r="S432" s="31"/>
      <c r="T432" s="31"/>
      <c r="U432" s="33"/>
      <c r="V432" s="33"/>
      <c r="W432" s="2"/>
    </row>
    <row r="433" spans="13:23" ht="14.25" customHeight="1" x14ac:dyDescent="0.3">
      <c r="M433" s="1"/>
      <c r="N433" s="31"/>
      <c r="O433" s="31"/>
      <c r="P433" s="31"/>
      <c r="Q433" s="32"/>
      <c r="R433" s="32"/>
      <c r="S433" s="31"/>
      <c r="T433" s="31"/>
      <c r="U433" s="33"/>
      <c r="V433" s="33"/>
      <c r="W433" s="2"/>
    </row>
    <row r="434" spans="13:23" ht="14.25" customHeight="1" x14ac:dyDescent="0.3">
      <c r="M434" s="1"/>
      <c r="N434" s="31"/>
      <c r="O434" s="31"/>
      <c r="P434" s="31"/>
      <c r="Q434" s="32"/>
      <c r="R434" s="32"/>
      <c r="S434" s="31"/>
      <c r="T434" s="31"/>
      <c r="U434" s="33"/>
      <c r="V434" s="33"/>
      <c r="W434" s="2"/>
    </row>
    <row r="435" spans="13:23" ht="14.25" customHeight="1" x14ac:dyDescent="0.3">
      <c r="M435" s="1"/>
      <c r="N435" s="31"/>
      <c r="O435" s="31"/>
      <c r="P435" s="31"/>
      <c r="Q435" s="32"/>
      <c r="R435" s="32"/>
      <c r="S435" s="31"/>
      <c r="T435" s="31"/>
      <c r="U435" s="33"/>
      <c r="V435" s="33"/>
      <c r="W435" s="2"/>
    </row>
    <row r="436" spans="13:23" ht="14.25" customHeight="1" x14ac:dyDescent="0.3">
      <c r="M436" s="1"/>
      <c r="N436" s="31"/>
      <c r="O436" s="31"/>
      <c r="P436" s="31"/>
      <c r="Q436" s="32"/>
      <c r="R436" s="32"/>
      <c r="S436" s="31"/>
      <c r="T436" s="31"/>
      <c r="U436" s="33"/>
      <c r="V436" s="33"/>
      <c r="W436" s="2"/>
    </row>
    <row r="437" spans="13:23" ht="14.25" customHeight="1" x14ac:dyDescent="0.3">
      <c r="M437" s="1"/>
      <c r="N437" s="31"/>
      <c r="O437" s="31"/>
      <c r="P437" s="31"/>
      <c r="Q437" s="32"/>
      <c r="R437" s="32"/>
      <c r="S437" s="31"/>
      <c r="T437" s="31"/>
      <c r="U437" s="33"/>
      <c r="V437" s="33"/>
      <c r="W437" s="2"/>
    </row>
    <row r="438" spans="13:23" ht="14.25" customHeight="1" x14ac:dyDescent="0.3">
      <c r="M438" s="1"/>
      <c r="N438" s="31"/>
      <c r="O438" s="31"/>
      <c r="P438" s="31"/>
      <c r="Q438" s="32"/>
      <c r="R438" s="32"/>
      <c r="S438" s="31"/>
      <c r="T438" s="31"/>
      <c r="U438" s="33"/>
      <c r="V438" s="33"/>
      <c r="W438" s="2"/>
    </row>
    <row r="439" spans="13:23" ht="14.25" customHeight="1" x14ac:dyDescent="0.3">
      <c r="M439" s="1"/>
      <c r="N439" s="31"/>
      <c r="O439" s="31"/>
      <c r="P439" s="31"/>
      <c r="Q439" s="32"/>
      <c r="R439" s="32"/>
      <c r="S439" s="31"/>
      <c r="T439" s="31"/>
      <c r="U439" s="33"/>
      <c r="V439" s="33"/>
      <c r="W439" s="2"/>
    </row>
    <row r="440" spans="13:23" ht="14.25" customHeight="1" x14ac:dyDescent="0.3">
      <c r="M440" s="1"/>
      <c r="N440" s="31"/>
      <c r="O440" s="31"/>
      <c r="P440" s="31"/>
      <c r="Q440" s="32"/>
      <c r="R440" s="32"/>
      <c r="S440" s="31"/>
      <c r="T440" s="31"/>
      <c r="U440" s="33"/>
      <c r="V440" s="33"/>
      <c r="W440" s="2"/>
    </row>
    <row r="441" spans="13:23" ht="14.25" customHeight="1" x14ac:dyDescent="0.3">
      <c r="M441" s="1"/>
      <c r="N441" s="31"/>
      <c r="O441" s="31"/>
      <c r="P441" s="31"/>
      <c r="Q441" s="32"/>
      <c r="R441" s="32"/>
      <c r="S441" s="31"/>
      <c r="T441" s="31"/>
      <c r="U441" s="33"/>
      <c r="V441" s="33"/>
      <c r="W441" s="2"/>
    </row>
    <row r="442" spans="13:23" ht="14.25" customHeight="1" x14ac:dyDescent="0.3">
      <c r="M442" s="1"/>
      <c r="N442" s="31"/>
      <c r="O442" s="31"/>
      <c r="P442" s="31"/>
      <c r="Q442" s="32"/>
      <c r="R442" s="32"/>
      <c r="S442" s="31"/>
      <c r="T442" s="31"/>
      <c r="U442" s="33"/>
      <c r="V442" s="33"/>
      <c r="W442" s="2"/>
    </row>
    <row r="443" spans="13:23" ht="14.25" customHeight="1" x14ac:dyDescent="0.3">
      <c r="M443" s="1"/>
      <c r="N443" s="31"/>
      <c r="O443" s="31"/>
      <c r="P443" s="31"/>
      <c r="Q443" s="32"/>
      <c r="R443" s="32"/>
      <c r="S443" s="31"/>
      <c r="T443" s="31"/>
      <c r="U443" s="33"/>
      <c r="V443" s="33"/>
      <c r="W443" s="2"/>
    </row>
    <row r="444" spans="13:23" ht="14.25" customHeight="1" x14ac:dyDescent="0.3">
      <c r="M444" s="1"/>
      <c r="N444" s="31"/>
      <c r="O444" s="31"/>
      <c r="P444" s="31"/>
      <c r="Q444" s="32"/>
      <c r="R444" s="32"/>
      <c r="S444" s="31"/>
      <c r="T444" s="31"/>
      <c r="U444" s="33"/>
      <c r="V444" s="33"/>
      <c r="W444" s="2"/>
    </row>
    <row r="445" spans="13:23" ht="14.25" customHeight="1" x14ac:dyDescent="0.3">
      <c r="M445" s="1"/>
      <c r="N445" s="31"/>
      <c r="O445" s="31"/>
      <c r="P445" s="31"/>
      <c r="Q445" s="32"/>
      <c r="R445" s="32"/>
      <c r="S445" s="31"/>
      <c r="T445" s="31"/>
      <c r="U445" s="33"/>
      <c r="V445" s="33"/>
      <c r="W445" s="2"/>
    </row>
    <row r="446" spans="13:23" ht="14.25" customHeight="1" x14ac:dyDescent="0.3">
      <c r="M446" s="1"/>
      <c r="N446" s="31"/>
      <c r="O446" s="31"/>
      <c r="P446" s="31"/>
      <c r="Q446" s="32"/>
      <c r="R446" s="32"/>
      <c r="S446" s="31"/>
      <c r="T446" s="31"/>
      <c r="U446" s="33"/>
      <c r="V446" s="33"/>
      <c r="W446" s="2"/>
    </row>
    <row r="447" spans="13:23" ht="14.25" customHeight="1" x14ac:dyDescent="0.3">
      <c r="M447" s="1"/>
      <c r="N447" s="31"/>
      <c r="O447" s="31"/>
      <c r="P447" s="31"/>
      <c r="Q447" s="32"/>
      <c r="R447" s="32"/>
      <c r="S447" s="31"/>
      <c r="T447" s="31"/>
      <c r="U447" s="33"/>
      <c r="V447" s="33"/>
      <c r="W447" s="2"/>
    </row>
    <row r="448" spans="13:23" ht="14.25" customHeight="1" x14ac:dyDescent="0.3">
      <c r="M448" s="1"/>
      <c r="N448" s="31"/>
      <c r="O448" s="31"/>
      <c r="P448" s="31"/>
      <c r="Q448" s="32"/>
      <c r="R448" s="32"/>
      <c r="S448" s="31"/>
      <c r="T448" s="31"/>
      <c r="U448" s="33"/>
      <c r="V448" s="33"/>
      <c r="W448" s="2"/>
    </row>
    <row r="449" spans="13:23" ht="14.25" customHeight="1" x14ac:dyDescent="0.3">
      <c r="M449" s="1"/>
      <c r="N449" s="31"/>
      <c r="O449" s="31"/>
      <c r="P449" s="31"/>
      <c r="Q449" s="32"/>
      <c r="R449" s="32"/>
      <c r="S449" s="31"/>
      <c r="T449" s="31"/>
      <c r="U449" s="33"/>
      <c r="V449" s="33"/>
      <c r="W449" s="2"/>
    </row>
    <row r="450" spans="13:23" ht="14.25" customHeight="1" x14ac:dyDescent="0.3">
      <c r="M450" s="1"/>
      <c r="N450" s="31"/>
      <c r="O450" s="31"/>
      <c r="P450" s="31"/>
      <c r="Q450" s="32"/>
      <c r="R450" s="32"/>
      <c r="S450" s="31"/>
      <c r="T450" s="31"/>
      <c r="U450" s="33"/>
      <c r="V450" s="33"/>
      <c r="W450" s="2"/>
    </row>
    <row r="451" spans="13:23" ht="14.25" customHeight="1" x14ac:dyDescent="0.3">
      <c r="M451" s="1"/>
      <c r="N451" s="31"/>
      <c r="O451" s="31"/>
      <c r="P451" s="31"/>
      <c r="Q451" s="32"/>
      <c r="R451" s="32"/>
      <c r="S451" s="31"/>
      <c r="T451" s="31"/>
      <c r="U451" s="33"/>
      <c r="V451" s="33"/>
      <c r="W451" s="2"/>
    </row>
    <row r="452" spans="13:23" ht="14.25" customHeight="1" x14ac:dyDescent="0.3">
      <c r="M452" s="1"/>
      <c r="N452" s="31"/>
      <c r="O452" s="31"/>
      <c r="P452" s="31"/>
      <c r="Q452" s="32"/>
      <c r="R452" s="32"/>
      <c r="S452" s="31"/>
      <c r="T452" s="31"/>
      <c r="U452" s="33"/>
      <c r="V452" s="33"/>
      <c r="W452" s="2"/>
    </row>
    <row r="453" spans="13:23" ht="14.25" customHeight="1" x14ac:dyDescent="0.3">
      <c r="M453" s="1"/>
      <c r="N453" s="31"/>
      <c r="O453" s="31"/>
      <c r="P453" s="31"/>
      <c r="Q453" s="32"/>
      <c r="R453" s="32"/>
      <c r="S453" s="31"/>
      <c r="T453" s="31"/>
      <c r="U453" s="33"/>
      <c r="V453" s="33"/>
      <c r="W453" s="2"/>
    </row>
    <row r="454" spans="13:23" ht="14.25" customHeight="1" x14ac:dyDescent="0.3">
      <c r="M454" s="1"/>
      <c r="N454" s="31"/>
      <c r="O454" s="31"/>
      <c r="P454" s="31"/>
      <c r="Q454" s="32"/>
      <c r="R454" s="32"/>
      <c r="S454" s="31"/>
      <c r="T454" s="31"/>
      <c r="U454" s="33"/>
      <c r="V454" s="33"/>
      <c r="W454" s="2"/>
    </row>
    <row r="455" spans="13:23" ht="14.25" customHeight="1" x14ac:dyDescent="0.3">
      <c r="M455" s="1"/>
      <c r="N455" s="31"/>
      <c r="O455" s="31"/>
      <c r="P455" s="31"/>
      <c r="Q455" s="32"/>
      <c r="R455" s="32"/>
      <c r="S455" s="31"/>
      <c r="T455" s="31"/>
      <c r="U455" s="33"/>
      <c r="V455" s="33"/>
      <c r="W455" s="2"/>
    </row>
    <row r="456" spans="13:23" ht="14.25" customHeight="1" x14ac:dyDescent="0.3">
      <c r="M456" s="1"/>
      <c r="N456" s="31"/>
      <c r="O456" s="31"/>
      <c r="P456" s="31"/>
      <c r="Q456" s="32"/>
      <c r="R456" s="32"/>
      <c r="S456" s="31"/>
      <c r="T456" s="31"/>
      <c r="U456" s="33"/>
      <c r="V456" s="33"/>
      <c r="W456" s="2"/>
    </row>
    <row r="457" spans="13:23" ht="14.25" customHeight="1" x14ac:dyDescent="0.3">
      <c r="M457" s="1"/>
      <c r="N457" s="31"/>
      <c r="O457" s="31"/>
      <c r="P457" s="31"/>
      <c r="Q457" s="32"/>
      <c r="R457" s="32"/>
      <c r="S457" s="31"/>
      <c r="T457" s="31"/>
      <c r="U457" s="33"/>
      <c r="V457" s="33"/>
      <c r="W457" s="2"/>
    </row>
    <row r="458" spans="13:23" ht="14.25" customHeight="1" x14ac:dyDescent="0.3">
      <c r="M458" s="1"/>
      <c r="N458" s="31"/>
      <c r="O458" s="31"/>
      <c r="P458" s="31"/>
      <c r="Q458" s="32"/>
      <c r="R458" s="32"/>
      <c r="S458" s="31"/>
      <c r="T458" s="31"/>
      <c r="U458" s="33"/>
      <c r="V458" s="33"/>
      <c r="W458" s="2"/>
    </row>
    <row r="459" spans="13:23" ht="14.25" customHeight="1" x14ac:dyDescent="0.3">
      <c r="M459" s="1"/>
      <c r="N459" s="31"/>
      <c r="O459" s="31"/>
      <c r="P459" s="31"/>
      <c r="Q459" s="32"/>
      <c r="R459" s="32"/>
      <c r="S459" s="31"/>
      <c r="T459" s="31"/>
      <c r="U459" s="33"/>
      <c r="V459" s="33"/>
      <c r="W459" s="2"/>
    </row>
    <row r="460" spans="13:23" ht="14.25" customHeight="1" x14ac:dyDescent="0.3">
      <c r="M460" s="1"/>
      <c r="N460" s="31"/>
      <c r="O460" s="31"/>
      <c r="P460" s="31"/>
      <c r="Q460" s="32"/>
      <c r="R460" s="32"/>
      <c r="S460" s="31"/>
      <c r="T460" s="31"/>
      <c r="U460" s="33"/>
      <c r="V460" s="33"/>
      <c r="W460" s="2"/>
    </row>
    <row r="461" spans="13:23" ht="14.25" customHeight="1" x14ac:dyDescent="0.3">
      <c r="M461" s="1"/>
      <c r="N461" s="31"/>
      <c r="O461" s="31"/>
      <c r="P461" s="31"/>
      <c r="Q461" s="32"/>
      <c r="R461" s="32"/>
      <c r="S461" s="31"/>
      <c r="T461" s="31"/>
      <c r="U461" s="33"/>
      <c r="V461" s="33"/>
      <c r="W461" s="2"/>
    </row>
    <row r="462" spans="13:23" ht="14.25" customHeight="1" x14ac:dyDescent="0.3">
      <c r="M462" s="1"/>
      <c r="N462" s="31"/>
      <c r="O462" s="31"/>
      <c r="P462" s="31"/>
      <c r="Q462" s="32"/>
      <c r="R462" s="32"/>
      <c r="S462" s="31"/>
      <c r="T462" s="31"/>
      <c r="U462" s="33"/>
      <c r="V462" s="33"/>
      <c r="W462" s="2"/>
    </row>
    <row r="463" spans="13:23" ht="14.25" customHeight="1" x14ac:dyDescent="0.3">
      <c r="M463" s="1"/>
      <c r="N463" s="31"/>
      <c r="O463" s="31"/>
      <c r="P463" s="31"/>
      <c r="Q463" s="32"/>
      <c r="R463" s="32"/>
      <c r="S463" s="31"/>
      <c r="T463" s="31"/>
      <c r="U463" s="33"/>
      <c r="V463" s="33"/>
      <c r="W463" s="2"/>
    </row>
    <row r="464" spans="13:23" ht="14.25" customHeight="1" x14ac:dyDescent="0.3">
      <c r="M464" s="1"/>
      <c r="N464" s="31"/>
      <c r="O464" s="31"/>
      <c r="P464" s="31"/>
      <c r="Q464" s="32"/>
      <c r="R464" s="32"/>
      <c r="S464" s="31"/>
      <c r="T464" s="31"/>
      <c r="U464" s="33"/>
      <c r="V464" s="33"/>
      <c r="W464" s="2"/>
    </row>
    <row r="465" spans="13:23" ht="14.25" customHeight="1" x14ac:dyDescent="0.3">
      <c r="M465" s="1"/>
      <c r="N465" s="31"/>
      <c r="O465" s="31"/>
      <c r="P465" s="31"/>
      <c r="Q465" s="32"/>
      <c r="R465" s="32"/>
      <c r="S465" s="31"/>
      <c r="T465" s="31"/>
      <c r="U465" s="33"/>
      <c r="V465" s="33"/>
      <c r="W465" s="2"/>
    </row>
    <row r="466" spans="13:23" ht="14.25" customHeight="1" x14ac:dyDescent="0.3">
      <c r="M466" s="1"/>
      <c r="N466" s="31"/>
      <c r="O466" s="31"/>
      <c r="P466" s="31"/>
      <c r="Q466" s="32"/>
      <c r="R466" s="32"/>
      <c r="S466" s="31"/>
      <c r="T466" s="31"/>
      <c r="U466" s="33"/>
      <c r="V466" s="33"/>
      <c r="W466" s="2"/>
    </row>
    <row r="467" spans="13:23" ht="14.25" customHeight="1" x14ac:dyDescent="0.3">
      <c r="M467" s="1"/>
      <c r="N467" s="31"/>
      <c r="O467" s="31"/>
      <c r="P467" s="31"/>
      <c r="Q467" s="32"/>
      <c r="R467" s="32"/>
      <c r="S467" s="31"/>
      <c r="T467" s="31"/>
      <c r="U467" s="33"/>
      <c r="V467" s="33"/>
      <c r="W467" s="2"/>
    </row>
    <row r="468" spans="13:23" ht="14.25" customHeight="1" x14ac:dyDescent="0.3">
      <c r="M468" s="1"/>
      <c r="N468" s="31"/>
      <c r="O468" s="31"/>
      <c r="P468" s="31"/>
      <c r="Q468" s="32"/>
      <c r="R468" s="32"/>
      <c r="S468" s="31"/>
      <c r="T468" s="31"/>
      <c r="U468" s="33"/>
      <c r="V468" s="33"/>
      <c r="W468" s="2"/>
    </row>
    <row r="469" spans="13:23" ht="14.25" customHeight="1" x14ac:dyDescent="0.3">
      <c r="M469" s="1"/>
      <c r="N469" s="31"/>
      <c r="O469" s="31"/>
      <c r="P469" s="31"/>
      <c r="Q469" s="32"/>
      <c r="R469" s="32"/>
      <c r="S469" s="31"/>
      <c r="T469" s="31"/>
      <c r="U469" s="33"/>
      <c r="V469" s="33"/>
      <c r="W469" s="2"/>
    </row>
    <row r="470" spans="13:23" ht="14.25" customHeight="1" x14ac:dyDescent="0.3">
      <c r="M470" s="1"/>
      <c r="N470" s="31"/>
      <c r="O470" s="31"/>
      <c r="P470" s="31"/>
      <c r="Q470" s="32"/>
      <c r="R470" s="32"/>
      <c r="S470" s="31"/>
      <c r="T470" s="31"/>
      <c r="U470" s="33"/>
      <c r="V470" s="33"/>
      <c r="W470" s="2"/>
    </row>
    <row r="471" spans="13:23" ht="14.25" customHeight="1" x14ac:dyDescent="0.3">
      <c r="M471" s="1"/>
      <c r="N471" s="31"/>
      <c r="O471" s="31"/>
      <c r="P471" s="31"/>
      <c r="Q471" s="32"/>
      <c r="R471" s="32"/>
      <c r="S471" s="31"/>
      <c r="T471" s="31"/>
      <c r="U471" s="33"/>
      <c r="V471" s="33"/>
      <c r="W471" s="2"/>
    </row>
    <row r="472" spans="13:23" ht="14.25" customHeight="1" x14ac:dyDescent="0.3">
      <c r="M472" s="1"/>
      <c r="N472" s="31"/>
      <c r="O472" s="31"/>
      <c r="P472" s="31"/>
      <c r="Q472" s="32"/>
      <c r="R472" s="32"/>
      <c r="S472" s="31"/>
      <c r="T472" s="31"/>
      <c r="U472" s="33"/>
      <c r="V472" s="33"/>
      <c r="W472" s="2"/>
    </row>
    <row r="473" spans="13:23" ht="14.25" customHeight="1" x14ac:dyDescent="0.3">
      <c r="M473" s="1"/>
      <c r="N473" s="31"/>
      <c r="O473" s="31"/>
      <c r="P473" s="31"/>
      <c r="Q473" s="32"/>
      <c r="R473" s="32"/>
      <c r="S473" s="31"/>
      <c r="T473" s="31"/>
      <c r="U473" s="33"/>
      <c r="V473" s="33"/>
      <c r="W473" s="2"/>
    </row>
    <row r="474" spans="13:23" ht="14.25" customHeight="1" x14ac:dyDescent="0.3">
      <c r="M474" s="1"/>
      <c r="N474" s="31"/>
      <c r="O474" s="31"/>
      <c r="P474" s="31"/>
      <c r="Q474" s="32"/>
      <c r="R474" s="32"/>
      <c r="S474" s="31"/>
      <c r="T474" s="31"/>
      <c r="U474" s="33"/>
      <c r="V474" s="33"/>
      <c r="W474" s="2"/>
    </row>
    <row r="475" spans="13:23" ht="14.25" customHeight="1" x14ac:dyDescent="0.3">
      <c r="M475" s="1"/>
      <c r="N475" s="31"/>
      <c r="O475" s="31"/>
      <c r="P475" s="31"/>
      <c r="Q475" s="32"/>
      <c r="R475" s="32"/>
      <c r="S475" s="31"/>
      <c r="T475" s="31"/>
      <c r="U475" s="33"/>
      <c r="V475" s="33"/>
      <c r="W475" s="2"/>
    </row>
    <row r="476" spans="13:23" ht="14.25" customHeight="1" x14ac:dyDescent="0.3">
      <c r="M476" s="1"/>
      <c r="N476" s="31"/>
      <c r="O476" s="31"/>
      <c r="P476" s="31"/>
      <c r="Q476" s="32"/>
      <c r="R476" s="32"/>
      <c r="S476" s="31"/>
      <c r="T476" s="31"/>
      <c r="U476" s="33"/>
      <c r="V476" s="33"/>
      <c r="W476" s="2"/>
    </row>
    <row r="477" spans="13:23" ht="14.25" customHeight="1" x14ac:dyDescent="0.3">
      <c r="M477" s="1"/>
      <c r="N477" s="31"/>
      <c r="O477" s="31"/>
      <c r="P477" s="31"/>
      <c r="Q477" s="32"/>
      <c r="R477" s="32"/>
      <c r="S477" s="31"/>
      <c r="T477" s="31"/>
      <c r="U477" s="33"/>
      <c r="V477" s="33"/>
      <c r="W477" s="2"/>
    </row>
    <row r="478" spans="13:23" ht="14.25" customHeight="1" x14ac:dyDescent="0.3">
      <c r="M478" s="1"/>
      <c r="N478" s="31"/>
      <c r="O478" s="31"/>
      <c r="P478" s="31"/>
      <c r="Q478" s="32"/>
      <c r="R478" s="32"/>
      <c r="S478" s="31"/>
      <c r="T478" s="31"/>
      <c r="U478" s="33"/>
      <c r="V478" s="33"/>
      <c r="W478" s="2"/>
    </row>
    <row r="479" spans="13:23" ht="14.25" customHeight="1" x14ac:dyDescent="0.3">
      <c r="M479" s="1"/>
      <c r="N479" s="31"/>
      <c r="O479" s="31"/>
      <c r="P479" s="31"/>
      <c r="Q479" s="32"/>
      <c r="R479" s="32"/>
      <c r="S479" s="31"/>
      <c r="T479" s="31"/>
      <c r="U479" s="33"/>
      <c r="V479" s="33"/>
      <c r="W479" s="2"/>
    </row>
    <row r="480" spans="13:23" ht="14.25" customHeight="1" x14ac:dyDescent="0.3">
      <c r="M480" s="1"/>
      <c r="N480" s="31"/>
      <c r="O480" s="31"/>
      <c r="P480" s="31"/>
      <c r="Q480" s="32"/>
      <c r="R480" s="32"/>
      <c r="S480" s="31"/>
      <c r="T480" s="31"/>
      <c r="U480" s="33"/>
      <c r="V480" s="33"/>
      <c r="W480" s="2"/>
    </row>
    <row r="481" spans="13:23" ht="14.25" customHeight="1" x14ac:dyDescent="0.3">
      <c r="M481" s="1"/>
      <c r="N481" s="31"/>
      <c r="O481" s="31"/>
      <c r="P481" s="31"/>
      <c r="Q481" s="32"/>
      <c r="R481" s="32"/>
      <c r="S481" s="31"/>
      <c r="T481" s="31"/>
      <c r="U481" s="33"/>
      <c r="V481" s="33"/>
      <c r="W481" s="2"/>
    </row>
    <row r="482" spans="13:23" ht="14.25" customHeight="1" x14ac:dyDescent="0.3">
      <c r="M482" s="1"/>
      <c r="N482" s="31"/>
      <c r="O482" s="31"/>
      <c r="P482" s="31"/>
      <c r="Q482" s="32"/>
      <c r="R482" s="32"/>
      <c r="S482" s="31"/>
      <c r="T482" s="31"/>
      <c r="U482" s="33"/>
      <c r="V482" s="33"/>
      <c r="W482" s="2"/>
    </row>
    <row r="483" spans="13:23" ht="14.25" customHeight="1" x14ac:dyDescent="0.3">
      <c r="M483" s="1"/>
      <c r="N483" s="31"/>
      <c r="O483" s="31"/>
      <c r="P483" s="31"/>
      <c r="Q483" s="32"/>
      <c r="R483" s="32"/>
      <c r="S483" s="31"/>
      <c r="T483" s="31"/>
      <c r="U483" s="33"/>
      <c r="V483" s="33"/>
      <c r="W483" s="2"/>
    </row>
    <row r="484" spans="13:23" ht="14.25" customHeight="1" x14ac:dyDescent="0.3">
      <c r="M484" s="1"/>
      <c r="N484" s="31"/>
      <c r="O484" s="31"/>
      <c r="P484" s="31"/>
      <c r="Q484" s="32"/>
      <c r="R484" s="32"/>
      <c r="S484" s="31"/>
      <c r="T484" s="31"/>
      <c r="U484" s="33"/>
      <c r="V484" s="33"/>
      <c r="W484" s="2"/>
    </row>
    <row r="485" spans="13:23" ht="14.25" customHeight="1" x14ac:dyDescent="0.3">
      <c r="M485" s="1"/>
      <c r="N485" s="31"/>
      <c r="O485" s="31"/>
      <c r="P485" s="31"/>
      <c r="Q485" s="32"/>
      <c r="R485" s="32"/>
      <c r="S485" s="31"/>
      <c r="T485" s="31"/>
      <c r="U485" s="33"/>
      <c r="V485" s="33"/>
      <c r="W485" s="2"/>
    </row>
    <row r="486" spans="13:23" ht="14.25" customHeight="1" x14ac:dyDescent="0.3">
      <c r="M486" s="1"/>
      <c r="N486" s="31"/>
      <c r="O486" s="31"/>
      <c r="P486" s="31"/>
      <c r="Q486" s="32"/>
      <c r="R486" s="32"/>
      <c r="S486" s="31"/>
      <c r="T486" s="31"/>
      <c r="U486" s="33"/>
      <c r="V486" s="33"/>
      <c r="W486" s="2"/>
    </row>
    <row r="487" spans="13:23" ht="14.25" customHeight="1" x14ac:dyDescent="0.3">
      <c r="M487" s="1"/>
      <c r="N487" s="31"/>
      <c r="O487" s="31"/>
      <c r="P487" s="31"/>
      <c r="Q487" s="32"/>
      <c r="R487" s="32"/>
      <c r="S487" s="31"/>
      <c r="T487" s="31"/>
      <c r="U487" s="33"/>
      <c r="V487" s="33"/>
      <c r="W487" s="2"/>
    </row>
    <row r="488" spans="13:23" ht="14.25" customHeight="1" x14ac:dyDescent="0.3">
      <c r="M488" s="1"/>
      <c r="N488" s="31"/>
      <c r="O488" s="31"/>
      <c r="P488" s="31"/>
      <c r="Q488" s="32"/>
      <c r="R488" s="32"/>
      <c r="S488" s="31"/>
      <c r="T488" s="31"/>
      <c r="U488" s="33"/>
      <c r="V488" s="33"/>
      <c r="W488" s="2"/>
    </row>
    <row r="489" spans="13:23" ht="14.25" customHeight="1" x14ac:dyDescent="0.3">
      <c r="M489" s="1"/>
      <c r="N489" s="31"/>
      <c r="O489" s="31"/>
      <c r="P489" s="31"/>
      <c r="Q489" s="32"/>
      <c r="R489" s="32"/>
      <c r="S489" s="31"/>
      <c r="T489" s="31"/>
      <c r="U489" s="33"/>
      <c r="V489" s="33"/>
      <c r="W489" s="2"/>
    </row>
    <row r="490" spans="13:23" ht="14.25" customHeight="1" x14ac:dyDescent="0.3">
      <c r="M490" s="1"/>
      <c r="N490" s="31"/>
      <c r="O490" s="31"/>
      <c r="P490" s="31"/>
      <c r="Q490" s="32"/>
      <c r="R490" s="32"/>
      <c r="S490" s="31"/>
      <c r="T490" s="31"/>
      <c r="U490" s="33"/>
      <c r="V490" s="33"/>
      <c r="W490" s="2"/>
    </row>
    <row r="491" spans="13:23" ht="14.25" customHeight="1" x14ac:dyDescent="0.3">
      <c r="M491" s="1"/>
      <c r="N491" s="31"/>
      <c r="O491" s="31"/>
      <c r="P491" s="31"/>
      <c r="Q491" s="32"/>
      <c r="R491" s="32"/>
      <c r="S491" s="31"/>
      <c r="T491" s="31"/>
      <c r="U491" s="33"/>
      <c r="V491" s="33"/>
      <c r="W491" s="2"/>
    </row>
    <row r="492" spans="13:23" ht="14.25" customHeight="1" x14ac:dyDescent="0.3">
      <c r="M492" s="1"/>
      <c r="N492" s="31"/>
      <c r="O492" s="31"/>
      <c r="P492" s="31"/>
      <c r="Q492" s="32"/>
      <c r="R492" s="32"/>
      <c r="S492" s="31"/>
      <c r="T492" s="31"/>
      <c r="U492" s="33"/>
      <c r="V492" s="33"/>
      <c r="W492" s="2"/>
    </row>
    <row r="493" spans="13:23" ht="14.25" customHeight="1" x14ac:dyDescent="0.3">
      <c r="M493" s="1"/>
      <c r="N493" s="31"/>
      <c r="O493" s="31"/>
      <c r="P493" s="31"/>
      <c r="Q493" s="32"/>
      <c r="R493" s="32"/>
      <c r="S493" s="31"/>
      <c r="T493" s="31"/>
      <c r="U493" s="33"/>
      <c r="V493" s="33"/>
      <c r="W493" s="2"/>
    </row>
    <row r="494" spans="13:23" ht="14.25" customHeight="1" x14ac:dyDescent="0.3">
      <c r="M494" s="1"/>
      <c r="N494" s="31"/>
      <c r="O494" s="31"/>
      <c r="P494" s="31"/>
      <c r="Q494" s="32"/>
      <c r="R494" s="32"/>
      <c r="S494" s="31"/>
      <c r="T494" s="31"/>
      <c r="U494" s="33"/>
      <c r="V494" s="33"/>
      <c r="W494" s="2"/>
    </row>
    <row r="495" spans="13:23" ht="14.25" customHeight="1" x14ac:dyDescent="0.3">
      <c r="M495" s="1"/>
      <c r="N495" s="31"/>
      <c r="O495" s="31"/>
      <c r="P495" s="31"/>
      <c r="Q495" s="32"/>
      <c r="R495" s="32"/>
      <c r="S495" s="31"/>
      <c r="T495" s="31"/>
      <c r="U495" s="33"/>
      <c r="V495" s="33"/>
      <c r="W495" s="2"/>
    </row>
    <row r="496" spans="13:23" ht="14.25" customHeight="1" x14ac:dyDescent="0.3">
      <c r="M496" s="1"/>
      <c r="N496" s="31"/>
      <c r="O496" s="31"/>
      <c r="P496" s="31"/>
      <c r="Q496" s="32"/>
      <c r="R496" s="32"/>
      <c r="S496" s="31"/>
      <c r="T496" s="31"/>
      <c r="U496" s="33"/>
      <c r="V496" s="33"/>
      <c r="W496" s="2"/>
    </row>
    <row r="497" spans="13:23" ht="14.25" customHeight="1" x14ac:dyDescent="0.3">
      <c r="M497" s="1"/>
      <c r="N497" s="31"/>
      <c r="O497" s="31"/>
      <c r="P497" s="31"/>
      <c r="Q497" s="32"/>
      <c r="R497" s="32"/>
      <c r="S497" s="31"/>
      <c r="T497" s="31"/>
      <c r="U497" s="33"/>
      <c r="V497" s="33"/>
      <c r="W497" s="2"/>
    </row>
    <row r="498" spans="13:23" ht="14.25" customHeight="1" x14ac:dyDescent="0.3">
      <c r="M498" s="1"/>
      <c r="N498" s="31"/>
      <c r="O498" s="31"/>
      <c r="P498" s="31"/>
      <c r="Q498" s="32"/>
      <c r="R498" s="32"/>
      <c r="S498" s="31"/>
      <c r="T498" s="31"/>
      <c r="U498" s="33"/>
      <c r="V498" s="33"/>
      <c r="W498" s="2"/>
    </row>
    <row r="499" spans="13:23" ht="14.25" customHeight="1" x14ac:dyDescent="0.3">
      <c r="M499" s="1"/>
      <c r="N499" s="31"/>
      <c r="O499" s="31"/>
      <c r="P499" s="31"/>
      <c r="Q499" s="32"/>
      <c r="R499" s="32"/>
      <c r="S499" s="31"/>
      <c r="T499" s="31"/>
      <c r="U499" s="33"/>
      <c r="V499" s="33"/>
      <c r="W499" s="2"/>
    </row>
    <row r="500" spans="13:23" ht="14.25" customHeight="1" x14ac:dyDescent="0.3">
      <c r="M500" s="1"/>
      <c r="N500" s="31"/>
      <c r="O500" s="31"/>
      <c r="P500" s="31"/>
      <c r="Q500" s="32"/>
      <c r="R500" s="32"/>
      <c r="S500" s="31"/>
      <c r="T500" s="31"/>
      <c r="U500" s="33"/>
      <c r="V500" s="33"/>
      <c r="W500" s="2"/>
    </row>
    <row r="501" spans="13:23" ht="14.25" customHeight="1" x14ac:dyDescent="0.3">
      <c r="M501" s="1"/>
      <c r="N501" s="31"/>
      <c r="O501" s="31"/>
      <c r="P501" s="31"/>
      <c r="Q501" s="32"/>
      <c r="R501" s="32"/>
      <c r="S501" s="31"/>
      <c r="T501" s="31"/>
      <c r="U501" s="33"/>
      <c r="V501" s="33"/>
      <c r="W501" s="2"/>
    </row>
    <row r="502" spans="13:23" ht="14.25" customHeight="1" x14ac:dyDescent="0.3">
      <c r="M502" s="1"/>
      <c r="N502" s="31"/>
      <c r="O502" s="31"/>
      <c r="P502" s="31"/>
      <c r="Q502" s="32"/>
      <c r="R502" s="32"/>
      <c r="S502" s="31"/>
      <c r="T502" s="31"/>
      <c r="U502" s="33"/>
      <c r="V502" s="33"/>
      <c r="W502" s="2"/>
    </row>
    <row r="503" spans="13:23" ht="14.25" customHeight="1" x14ac:dyDescent="0.3">
      <c r="M503" s="1"/>
      <c r="N503" s="31"/>
      <c r="O503" s="31"/>
      <c r="P503" s="31"/>
      <c r="Q503" s="32"/>
      <c r="R503" s="32"/>
      <c r="S503" s="31"/>
      <c r="T503" s="31"/>
      <c r="U503" s="33"/>
      <c r="V503" s="33"/>
      <c r="W503" s="2"/>
    </row>
    <row r="504" spans="13:23" ht="14.25" customHeight="1" x14ac:dyDescent="0.3">
      <c r="M504" s="1"/>
      <c r="N504" s="31"/>
      <c r="O504" s="31"/>
      <c r="P504" s="31"/>
      <c r="Q504" s="32"/>
      <c r="R504" s="32"/>
      <c r="S504" s="31"/>
      <c r="T504" s="31"/>
      <c r="U504" s="33"/>
      <c r="V504" s="33"/>
      <c r="W504" s="2"/>
    </row>
    <row r="505" spans="13:23" ht="14.25" customHeight="1" x14ac:dyDescent="0.3">
      <c r="M505" s="1"/>
      <c r="N505" s="31"/>
      <c r="O505" s="31"/>
      <c r="P505" s="31"/>
      <c r="Q505" s="32"/>
      <c r="R505" s="32"/>
      <c r="S505" s="31"/>
      <c r="T505" s="31"/>
      <c r="U505" s="33"/>
      <c r="V505" s="33"/>
      <c r="W505" s="2"/>
    </row>
    <row r="506" spans="13:23" ht="14.25" customHeight="1" x14ac:dyDescent="0.3">
      <c r="M506" s="1"/>
      <c r="N506" s="31"/>
      <c r="O506" s="31"/>
      <c r="P506" s="31"/>
      <c r="Q506" s="32"/>
      <c r="R506" s="32"/>
      <c r="S506" s="31"/>
      <c r="T506" s="31"/>
      <c r="U506" s="33"/>
      <c r="V506" s="33"/>
      <c r="W506" s="2"/>
    </row>
    <row r="507" spans="13:23" ht="14.25" customHeight="1" x14ac:dyDescent="0.3">
      <c r="M507" s="1"/>
      <c r="N507" s="31"/>
      <c r="O507" s="31"/>
      <c r="P507" s="31"/>
      <c r="Q507" s="32"/>
      <c r="R507" s="32"/>
      <c r="S507" s="31"/>
      <c r="T507" s="31"/>
      <c r="U507" s="33"/>
      <c r="V507" s="33"/>
      <c r="W507" s="2"/>
    </row>
    <row r="508" spans="13:23" ht="14.25" customHeight="1" x14ac:dyDescent="0.3">
      <c r="M508" s="1"/>
      <c r="N508" s="31"/>
      <c r="O508" s="31"/>
      <c r="P508" s="31"/>
      <c r="Q508" s="32"/>
      <c r="R508" s="32"/>
      <c r="S508" s="31"/>
      <c r="T508" s="31"/>
      <c r="U508" s="33"/>
      <c r="V508" s="33"/>
      <c r="W508" s="2"/>
    </row>
    <row r="509" spans="13:23" ht="14.25" customHeight="1" x14ac:dyDescent="0.3">
      <c r="M509" s="1"/>
      <c r="N509" s="31"/>
      <c r="O509" s="31"/>
      <c r="P509" s="31"/>
      <c r="Q509" s="32"/>
      <c r="R509" s="32"/>
      <c r="S509" s="31"/>
      <c r="T509" s="31"/>
      <c r="U509" s="33"/>
      <c r="V509" s="33"/>
      <c r="W509" s="2"/>
    </row>
    <row r="510" spans="13:23" ht="14.25" customHeight="1" x14ac:dyDescent="0.3">
      <c r="M510" s="1"/>
      <c r="N510" s="31"/>
      <c r="O510" s="31"/>
      <c r="P510" s="31"/>
      <c r="Q510" s="32"/>
      <c r="R510" s="32"/>
      <c r="S510" s="31"/>
      <c r="T510" s="31"/>
      <c r="U510" s="33"/>
      <c r="V510" s="33"/>
      <c r="W510" s="2"/>
    </row>
    <row r="511" spans="13:23" ht="14.25" customHeight="1" x14ac:dyDescent="0.3">
      <c r="M511" s="1"/>
      <c r="N511" s="31"/>
      <c r="O511" s="31"/>
      <c r="P511" s="31"/>
      <c r="Q511" s="32"/>
      <c r="R511" s="32"/>
      <c r="S511" s="31"/>
      <c r="T511" s="31"/>
      <c r="U511" s="33"/>
      <c r="V511" s="33"/>
      <c r="W511" s="2"/>
    </row>
    <row r="512" spans="13:23" ht="14.25" customHeight="1" x14ac:dyDescent="0.3">
      <c r="M512" s="1"/>
      <c r="N512" s="31"/>
      <c r="O512" s="31"/>
      <c r="P512" s="31"/>
      <c r="Q512" s="32"/>
      <c r="R512" s="32"/>
      <c r="S512" s="31"/>
      <c r="T512" s="31"/>
      <c r="U512" s="33"/>
      <c r="V512" s="33"/>
      <c r="W512" s="2"/>
    </row>
    <row r="513" spans="13:23" ht="14.25" customHeight="1" x14ac:dyDescent="0.3">
      <c r="M513" s="1"/>
      <c r="N513" s="31"/>
      <c r="O513" s="31"/>
      <c r="P513" s="31"/>
      <c r="Q513" s="32"/>
      <c r="R513" s="32"/>
      <c r="S513" s="31"/>
      <c r="T513" s="31"/>
      <c r="U513" s="33"/>
      <c r="V513" s="33"/>
      <c r="W513" s="2"/>
    </row>
    <row r="514" spans="13:23" ht="14.25" customHeight="1" x14ac:dyDescent="0.3">
      <c r="M514" s="1"/>
      <c r="N514" s="31"/>
      <c r="O514" s="31"/>
      <c r="P514" s="31"/>
      <c r="Q514" s="32"/>
      <c r="R514" s="32"/>
      <c r="S514" s="31"/>
      <c r="T514" s="31"/>
      <c r="U514" s="33"/>
      <c r="V514" s="33"/>
      <c r="W514" s="2"/>
    </row>
    <row r="515" spans="13:23" ht="14.25" customHeight="1" x14ac:dyDescent="0.3">
      <c r="M515" s="1"/>
      <c r="N515" s="31"/>
      <c r="O515" s="31"/>
      <c r="P515" s="31"/>
      <c r="Q515" s="32"/>
      <c r="R515" s="32"/>
      <c r="S515" s="31"/>
      <c r="T515" s="31"/>
      <c r="U515" s="33"/>
      <c r="V515" s="33"/>
      <c r="W515" s="2"/>
    </row>
    <row r="516" spans="13:23" ht="14.25" customHeight="1" x14ac:dyDescent="0.3">
      <c r="M516" s="1"/>
      <c r="N516" s="31"/>
      <c r="O516" s="31"/>
      <c r="P516" s="31"/>
      <c r="Q516" s="32"/>
      <c r="R516" s="32"/>
      <c r="S516" s="31"/>
      <c r="T516" s="31"/>
      <c r="U516" s="33"/>
      <c r="V516" s="33"/>
      <c r="W516" s="2"/>
    </row>
    <row r="517" spans="13:23" ht="14.25" customHeight="1" x14ac:dyDescent="0.3">
      <c r="M517" s="1"/>
      <c r="N517" s="31"/>
      <c r="O517" s="31"/>
      <c r="P517" s="31"/>
      <c r="Q517" s="32"/>
      <c r="R517" s="32"/>
      <c r="S517" s="31"/>
      <c r="T517" s="31"/>
      <c r="U517" s="33"/>
      <c r="V517" s="33"/>
      <c r="W517" s="2"/>
    </row>
    <row r="518" spans="13:23" ht="14.25" customHeight="1" x14ac:dyDescent="0.3">
      <c r="M518" s="1"/>
      <c r="N518" s="31"/>
      <c r="O518" s="31"/>
      <c r="P518" s="31"/>
      <c r="Q518" s="32"/>
      <c r="R518" s="32"/>
      <c r="S518" s="31"/>
      <c r="T518" s="31"/>
      <c r="U518" s="33"/>
      <c r="V518" s="33"/>
      <c r="W518" s="2"/>
    </row>
    <row r="519" spans="13:23" ht="14.25" customHeight="1" x14ac:dyDescent="0.3">
      <c r="M519" s="1"/>
      <c r="N519" s="31"/>
      <c r="O519" s="31"/>
      <c r="P519" s="31"/>
      <c r="Q519" s="32"/>
      <c r="R519" s="32"/>
      <c r="S519" s="31"/>
      <c r="T519" s="31"/>
      <c r="U519" s="33"/>
      <c r="V519" s="33"/>
      <c r="W519" s="2"/>
    </row>
    <row r="520" spans="13:23" ht="14.25" customHeight="1" x14ac:dyDescent="0.3">
      <c r="M520" s="1"/>
      <c r="N520" s="31"/>
      <c r="O520" s="31"/>
      <c r="P520" s="31"/>
      <c r="Q520" s="32"/>
      <c r="R520" s="32"/>
      <c r="S520" s="31"/>
      <c r="T520" s="31"/>
      <c r="U520" s="33"/>
      <c r="V520" s="33"/>
      <c r="W520" s="2"/>
    </row>
    <row r="521" spans="13:23" ht="14.25" customHeight="1" x14ac:dyDescent="0.3">
      <c r="M521" s="1"/>
      <c r="N521" s="31"/>
      <c r="O521" s="31"/>
      <c r="P521" s="31"/>
      <c r="Q521" s="32"/>
      <c r="R521" s="32"/>
      <c r="S521" s="31"/>
      <c r="T521" s="31"/>
      <c r="U521" s="33"/>
      <c r="V521" s="33"/>
      <c r="W521" s="2"/>
    </row>
    <row r="522" spans="13:23" ht="14.25" customHeight="1" x14ac:dyDescent="0.3">
      <c r="M522" s="1"/>
      <c r="N522" s="31"/>
      <c r="O522" s="31"/>
      <c r="P522" s="31"/>
      <c r="Q522" s="32"/>
      <c r="R522" s="32"/>
      <c r="S522" s="31"/>
      <c r="T522" s="31"/>
      <c r="U522" s="33"/>
      <c r="V522" s="33"/>
      <c r="W522" s="2"/>
    </row>
    <row r="523" spans="13:23" ht="14.25" customHeight="1" x14ac:dyDescent="0.3">
      <c r="M523" s="1"/>
      <c r="N523" s="31"/>
      <c r="O523" s="31"/>
      <c r="P523" s="31"/>
      <c r="Q523" s="32"/>
      <c r="R523" s="32"/>
      <c r="S523" s="31"/>
      <c r="T523" s="31"/>
      <c r="U523" s="33"/>
      <c r="V523" s="33"/>
      <c r="W523" s="2"/>
    </row>
    <row r="524" spans="13:23" ht="14.25" customHeight="1" x14ac:dyDescent="0.3">
      <c r="M524" s="1"/>
      <c r="N524" s="31"/>
      <c r="O524" s="31"/>
      <c r="P524" s="31"/>
      <c r="Q524" s="32"/>
      <c r="R524" s="32"/>
      <c r="S524" s="31"/>
      <c r="T524" s="31"/>
      <c r="U524" s="33"/>
      <c r="V524" s="33"/>
      <c r="W524" s="2"/>
    </row>
    <row r="525" spans="13:23" ht="14.25" customHeight="1" x14ac:dyDescent="0.3">
      <c r="M525" s="1"/>
      <c r="N525" s="31"/>
      <c r="O525" s="31"/>
      <c r="P525" s="31"/>
      <c r="Q525" s="32"/>
      <c r="R525" s="32"/>
      <c r="S525" s="31"/>
      <c r="T525" s="31"/>
      <c r="U525" s="33"/>
      <c r="V525" s="33"/>
      <c r="W525" s="2"/>
    </row>
    <row r="526" spans="13:23" ht="14.25" customHeight="1" x14ac:dyDescent="0.3">
      <c r="M526" s="1"/>
      <c r="N526" s="31"/>
      <c r="O526" s="31"/>
      <c r="P526" s="31"/>
      <c r="Q526" s="32"/>
      <c r="R526" s="32"/>
      <c r="S526" s="31"/>
      <c r="T526" s="31"/>
      <c r="U526" s="33"/>
      <c r="V526" s="33"/>
      <c r="W526" s="2"/>
    </row>
    <row r="527" spans="13:23" ht="14.25" customHeight="1" x14ac:dyDescent="0.3">
      <c r="M527" s="1"/>
      <c r="N527" s="31"/>
      <c r="O527" s="31"/>
      <c r="P527" s="31"/>
      <c r="Q527" s="32"/>
      <c r="R527" s="32"/>
      <c r="S527" s="31"/>
      <c r="T527" s="31"/>
      <c r="U527" s="33"/>
      <c r="V527" s="33"/>
      <c r="W527" s="2"/>
    </row>
    <row r="528" spans="13:23" ht="14.25" customHeight="1" x14ac:dyDescent="0.3">
      <c r="M528" s="1"/>
      <c r="N528" s="31"/>
      <c r="O528" s="31"/>
      <c r="P528" s="31"/>
      <c r="Q528" s="32"/>
      <c r="R528" s="32"/>
      <c r="S528" s="31"/>
      <c r="T528" s="31"/>
      <c r="U528" s="33"/>
      <c r="V528" s="33"/>
      <c r="W528" s="2"/>
    </row>
    <row r="529" spans="13:23" ht="14.25" customHeight="1" x14ac:dyDescent="0.3">
      <c r="M529" s="1"/>
      <c r="N529" s="31"/>
      <c r="O529" s="31"/>
      <c r="P529" s="31"/>
      <c r="Q529" s="32"/>
      <c r="R529" s="32"/>
      <c r="S529" s="31"/>
      <c r="T529" s="31"/>
      <c r="U529" s="33"/>
      <c r="V529" s="33"/>
      <c r="W529" s="2"/>
    </row>
    <row r="530" spans="13:23" ht="14.25" customHeight="1" x14ac:dyDescent="0.3">
      <c r="M530" s="1"/>
      <c r="N530" s="31"/>
      <c r="O530" s="31"/>
      <c r="P530" s="31"/>
      <c r="Q530" s="32"/>
      <c r="R530" s="32"/>
      <c r="S530" s="31"/>
      <c r="T530" s="31"/>
      <c r="U530" s="33"/>
      <c r="V530" s="33"/>
      <c r="W530" s="2"/>
    </row>
    <row r="531" spans="13:23" ht="14.25" customHeight="1" x14ac:dyDescent="0.3">
      <c r="M531" s="1"/>
      <c r="N531" s="31"/>
      <c r="O531" s="31"/>
      <c r="P531" s="31"/>
      <c r="Q531" s="32"/>
      <c r="R531" s="32"/>
      <c r="S531" s="31"/>
      <c r="T531" s="31"/>
      <c r="U531" s="33"/>
      <c r="V531" s="33"/>
      <c r="W531" s="2"/>
    </row>
    <row r="532" spans="13:23" ht="14.25" customHeight="1" x14ac:dyDescent="0.3">
      <c r="M532" s="1"/>
      <c r="N532" s="31"/>
      <c r="O532" s="31"/>
      <c r="P532" s="31"/>
      <c r="Q532" s="32"/>
      <c r="R532" s="32"/>
      <c r="S532" s="31"/>
      <c r="T532" s="31"/>
      <c r="U532" s="33"/>
      <c r="V532" s="33"/>
      <c r="W532" s="2"/>
    </row>
    <row r="533" spans="13:23" ht="14.25" customHeight="1" x14ac:dyDescent="0.3">
      <c r="M533" s="1"/>
      <c r="N533" s="31"/>
      <c r="O533" s="31"/>
      <c r="P533" s="31"/>
      <c r="Q533" s="32"/>
      <c r="R533" s="32"/>
      <c r="S533" s="31"/>
      <c r="T533" s="31"/>
      <c r="U533" s="33"/>
      <c r="V533" s="33"/>
      <c r="W533" s="2"/>
    </row>
    <row r="534" spans="13:23" ht="14.25" customHeight="1" x14ac:dyDescent="0.3">
      <c r="M534" s="1"/>
      <c r="N534" s="31"/>
      <c r="O534" s="31"/>
      <c r="P534" s="31"/>
      <c r="Q534" s="32"/>
      <c r="R534" s="32"/>
      <c r="S534" s="31"/>
      <c r="T534" s="31"/>
      <c r="U534" s="33"/>
      <c r="V534" s="33"/>
      <c r="W534" s="2"/>
    </row>
    <row r="535" spans="13:23" ht="14.25" customHeight="1" x14ac:dyDescent="0.3">
      <c r="M535" s="1"/>
      <c r="N535" s="31"/>
      <c r="O535" s="31"/>
      <c r="P535" s="31"/>
      <c r="Q535" s="32"/>
      <c r="R535" s="32"/>
      <c r="S535" s="31"/>
      <c r="T535" s="31"/>
      <c r="U535" s="33"/>
      <c r="V535" s="33"/>
      <c r="W535" s="2"/>
    </row>
    <row r="536" spans="13:23" ht="14.25" customHeight="1" x14ac:dyDescent="0.3">
      <c r="M536" s="1"/>
      <c r="N536" s="31"/>
      <c r="O536" s="31"/>
      <c r="P536" s="31"/>
      <c r="Q536" s="32"/>
      <c r="R536" s="32"/>
      <c r="S536" s="31"/>
      <c r="T536" s="31"/>
      <c r="U536" s="33"/>
      <c r="V536" s="33"/>
      <c r="W536" s="2"/>
    </row>
    <row r="537" spans="13:23" ht="14.25" customHeight="1" x14ac:dyDescent="0.3">
      <c r="M537" s="1"/>
      <c r="N537" s="31"/>
      <c r="O537" s="31"/>
      <c r="P537" s="31"/>
      <c r="Q537" s="32"/>
      <c r="R537" s="32"/>
      <c r="S537" s="31"/>
      <c r="T537" s="31"/>
      <c r="U537" s="33"/>
      <c r="V537" s="33"/>
      <c r="W537" s="2"/>
    </row>
    <row r="538" spans="13:23" ht="14.25" customHeight="1" x14ac:dyDescent="0.3">
      <c r="M538" s="1"/>
      <c r="N538" s="31"/>
      <c r="O538" s="31"/>
      <c r="P538" s="31"/>
      <c r="Q538" s="32"/>
      <c r="R538" s="32"/>
      <c r="S538" s="31"/>
      <c r="T538" s="31"/>
      <c r="U538" s="33"/>
      <c r="V538" s="33"/>
      <c r="W538" s="2"/>
    </row>
    <row r="539" spans="13:23" ht="14.25" customHeight="1" x14ac:dyDescent="0.3">
      <c r="M539" s="1"/>
      <c r="N539" s="31"/>
      <c r="O539" s="31"/>
      <c r="P539" s="31"/>
      <c r="Q539" s="32"/>
      <c r="R539" s="32"/>
      <c r="S539" s="31"/>
      <c r="T539" s="31"/>
      <c r="U539" s="33"/>
      <c r="V539" s="33"/>
      <c r="W539" s="2"/>
    </row>
    <row r="540" spans="13:23" ht="14.25" customHeight="1" x14ac:dyDescent="0.3">
      <c r="M540" s="1"/>
      <c r="N540" s="31"/>
      <c r="O540" s="31"/>
      <c r="P540" s="31"/>
      <c r="Q540" s="32"/>
      <c r="R540" s="32"/>
      <c r="S540" s="31"/>
      <c r="T540" s="31"/>
      <c r="U540" s="33"/>
      <c r="V540" s="33"/>
      <c r="W540" s="2"/>
    </row>
    <row r="541" spans="13:23" ht="14.25" customHeight="1" x14ac:dyDescent="0.3">
      <c r="M541" s="1"/>
      <c r="N541" s="31"/>
      <c r="O541" s="31"/>
      <c r="P541" s="31"/>
      <c r="Q541" s="32"/>
      <c r="R541" s="32"/>
      <c r="S541" s="31"/>
      <c r="T541" s="31"/>
      <c r="U541" s="33"/>
      <c r="V541" s="33"/>
      <c r="W541" s="2"/>
    </row>
    <row r="542" spans="13:23" ht="14.25" customHeight="1" x14ac:dyDescent="0.3">
      <c r="M542" s="1"/>
      <c r="N542" s="31"/>
      <c r="O542" s="31"/>
      <c r="P542" s="31"/>
      <c r="Q542" s="32"/>
      <c r="R542" s="32"/>
      <c r="S542" s="31"/>
      <c r="T542" s="31"/>
      <c r="U542" s="33"/>
      <c r="V542" s="33"/>
      <c r="W542" s="2"/>
    </row>
    <row r="543" spans="13:23" ht="14.25" customHeight="1" x14ac:dyDescent="0.3">
      <c r="M543" s="1"/>
      <c r="N543" s="31"/>
      <c r="O543" s="31"/>
      <c r="P543" s="31"/>
      <c r="Q543" s="32"/>
      <c r="R543" s="32"/>
      <c r="S543" s="31"/>
      <c r="T543" s="31"/>
      <c r="U543" s="33"/>
      <c r="V543" s="33"/>
      <c r="W543" s="2"/>
    </row>
    <row r="544" spans="13:23" ht="14.25" customHeight="1" x14ac:dyDescent="0.3">
      <c r="M544" s="1"/>
      <c r="N544" s="31"/>
      <c r="O544" s="31"/>
      <c r="P544" s="31"/>
      <c r="Q544" s="32"/>
      <c r="R544" s="32"/>
      <c r="S544" s="31"/>
      <c r="T544" s="31"/>
      <c r="U544" s="33"/>
      <c r="V544" s="33"/>
      <c r="W544" s="2"/>
    </row>
    <row r="545" spans="13:23" ht="14.25" customHeight="1" x14ac:dyDescent="0.3">
      <c r="M545" s="1"/>
      <c r="N545" s="31"/>
      <c r="O545" s="31"/>
      <c r="P545" s="31"/>
      <c r="Q545" s="32"/>
      <c r="R545" s="32"/>
      <c r="S545" s="31"/>
      <c r="T545" s="31"/>
      <c r="U545" s="33"/>
      <c r="V545" s="33"/>
      <c r="W545" s="2"/>
    </row>
    <row r="546" spans="13:23" ht="14.25" customHeight="1" x14ac:dyDescent="0.3">
      <c r="M546" s="1"/>
      <c r="N546" s="31"/>
      <c r="O546" s="31"/>
      <c r="P546" s="31"/>
      <c r="Q546" s="32"/>
      <c r="R546" s="32"/>
      <c r="S546" s="31"/>
      <c r="T546" s="31"/>
      <c r="U546" s="33"/>
      <c r="V546" s="33"/>
      <c r="W546" s="2"/>
    </row>
    <row r="547" spans="13:23" ht="14.25" customHeight="1" x14ac:dyDescent="0.3">
      <c r="M547" s="1"/>
      <c r="N547" s="31"/>
      <c r="O547" s="31"/>
      <c r="P547" s="31"/>
      <c r="Q547" s="32"/>
      <c r="R547" s="32"/>
      <c r="S547" s="31"/>
      <c r="T547" s="31"/>
      <c r="U547" s="33"/>
      <c r="V547" s="33"/>
      <c r="W547" s="2"/>
    </row>
    <row r="548" spans="13:23" ht="14.25" customHeight="1" x14ac:dyDescent="0.3">
      <c r="M548" s="1"/>
      <c r="N548" s="31"/>
      <c r="O548" s="31"/>
      <c r="P548" s="31"/>
      <c r="Q548" s="32"/>
      <c r="R548" s="32"/>
      <c r="S548" s="31"/>
      <c r="T548" s="31"/>
      <c r="U548" s="33"/>
      <c r="V548" s="33"/>
      <c r="W548" s="2"/>
    </row>
    <row r="549" spans="13:23" ht="14.25" customHeight="1" x14ac:dyDescent="0.3">
      <c r="M549" s="1"/>
      <c r="N549" s="31"/>
      <c r="O549" s="31"/>
      <c r="P549" s="31"/>
      <c r="Q549" s="32"/>
      <c r="R549" s="32"/>
      <c r="S549" s="31"/>
      <c r="T549" s="31"/>
      <c r="U549" s="33"/>
      <c r="V549" s="33"/>
      <c r="W549" s="2"/>
    </row>
    <row r="550" spans="13:23" ht="14.25" customHeight="1" x14ac:dyDescent="0.3">
      <c r="M550" s="1"/>
      <c r="N550" s="31"/>
      <c r="O550" s="31"/>
      <c r="P550" s="31"/>
      <c r="Q550" s="32"/>
      <c r="R550" s="32"/>
      <c r="S550" s="31"/>
      <c r="T550" s="31"/>
      <c r="U550" s="33"/>
      <c r="V550" s="33"/>
      <c r="W550" s="2"/>
    </row>
    <row r="551" spans="13:23" ht="14.25" customHeight="1" x14ac:dyDescent="0.3">
      <c r="M551" s="1"/>
      <c r="N551" s="31"/>
      <c r="O551" s="31"/>
      <c r="P551" s="31"/>
      <c r="Q551" s="32"/>
      <c r="R551" s="32"/>
      <c r="S551" s="31"/>
      <c r="T551" s="31"/>
      <c r="U551" s="33"/>
      <c r="V551" s="33"/>
      <c r="W551" s="2"/>
    </row>
    <row r="552" spans="13:23" ht="14.25" customHeight="1" x14ac:dyDescent="0.3">
      <c r="M552" s="1"/>
      <c r="N552" s="31"/>
      <c r="O552" s="31"/>
      <c r="P552" s="31"/>
      <c r="Q552" s="32"/>
      <c r="R552" s="32"/>
      <c r="S552" s="31"/>
      <c r="T552" s="31"/>
      <c r="U552" s="33"/>
      <c r="V552" s="33"/>
      <c r="W552" s="2"/>
    </row>
    <row r="553" spans="13:23" ht="14.25" customHeight="1" x14ac:dyDescent="0.3">
      <c r="M553" s="1"/>
      <c r="N553" s="31"/>
      <c r="O553" s="31"/>
      <c r="P553" s="31"/>
      <c r="Q553" s="32"/>
      <c r="R553" s="32"/>
      <c r="S553" s="31"/>
      <c r="T553" s="31"/>
      <c r="U553" s="33"/>
      <c r="V553" s="33"/>
      <c r="W553" s="2"/>
    </row>
    <row r="554" spans="13:23" ht="14.25" customHeight="1" x14ac:dyDescent="0.3">
      <c r="M554" s="1"/>
      <c r="N554" s="31"/>
      <c r="O554" s="31"/>
      <c r="P554" s="31"/>
      <c r="Q554" s="32"/>
      <c r="R554" s="32"/>
      <c r="S554" s="31"/>
      <c r="T554" s="31"/>
      <c r="U554" s="33"/>
      <c r="V554" s="33"/>
      <c r="W554" s="2"/>
    </row>
    <row r="555" spans="13:23" ht="14.25" customHeight="1" x14ac:dyDescent="0.3">
      <c r="M555" s="1"/>
      <c r="N555" s="31"/>
      <c r="O555" s="31"/>
      <c r="P555" s="31"/>
      <c r="Q555" s="32"/>
      <c r="R555" s="32"/>
      <c r="S555" s="31"/>
      <c r="T555" s="31"/>
      <c r="U555" s="33"/>
      <c r="V555" s="33"/>
      <c r="W555" s="2"/>
    </row>
    <row r="556" spans="13:23" ht="14.25" customHeight="1" x14ac:dyDescent="0.3">
      <c r="M556" s="1"/>
      <c r="N556" s="31"/>
      <c r="O556" s="31"/>
      <c r="P556" s="31"/>
      <c r="Q556" s="32"/>
      <c r="R556" s="32"/>
      <c r="S556" s="31"/>
      <c r="T556" s="31"/>
      <c r="U556" s="33"/>
      <c r="V556" s="33"/>
      <c r="W556" s="2"/>
    </row>
    <row r="557" spans="13:23" ht="14.25" customHeight="1" x14ac:dyDescent="0.3">
      <c r="M557" s="1"/>
      <c r="N557" s="31"/>
      <c r="O557" s="31"/>
      <c r="P557" s="31"/>
      <c r="Q557" s="32"/>
      <c r="R557" s="32"/>
      <c r="S557" s="31"/>
      <c r="T557" s="31"/>
      <c r="U557" s="33"/>
      <c r="V557" s="33"/>
      <c r="W557" s="2"/>
    </row>
    <row r="558" spans="13:23" ht="14.25" customHeight="1" x14ac:dyDescent="0.3">
      <c r="M558" s="1"/>
      <c r="N558" s="31"/>
      <c r="O558" s="31"/>
      <c r="P558" s="31"/>
      <c r="Q558" s="32"/>
      <c r="R558" s="32"/>
      <c r="S558" s="31"/>
      <c r="T558" s="31"/>
      <c r="U558" s="33"/>
      <c r="V558" s="33"/>
      <c r="W558" s="2"/>
    </row>
    <row r="559" spans="13:23" ht="14.25" customHeight="1" x14ac:dyDescent="0.3">
      <c r="M559" s="1"/>
      <c r="N559" s="31"/>
      <c r="O559" s="31"/>
      <c r="P559" s="31"/>
      <c r="Q559" s="32"/>
      <c r="R559" s="32"/>
      <c r="S559" s="31"/>
      <c r="T559" s="31"/>
      <c r="U559" s="33"/>
      <c r="V559" s="33"/>
      <c r="W559" s="2"/>
    </row>
    <row r="560" spans="13:23" ht="14.25" customHeight="1" x14ac:dyDescent="0.3">
      <c r="M560" s="1"/>
      <c r="N560" s="31"/>
      <c r="O560" s="31"/>
      <c r="P560" s="31"/>
      <c r="Q560" s="32"/>
      <c r="R560" s="32"/>
      <c r="S560" s="31"/>
      <c r="T560" s="31"/>
      <c r="U560" s="33"/>
      <c r="V560" s="33"/>
      <c r="W560" s="2"/>
    </row>
    <row r="561" spans="13:23" ht="14.25" customHeight="1" x14ac:dyDescent="0.3">
      <c r="M561" s="1"/>
      <c r="N561" s="31"/>
      <c r="O561" s="31"/>
      <c r="P561" s="31"/>
      <c r="Q561" s="32"/>
      <c r="R561" s="32"/>
      <c r="S561" s="31"/>
      <c r="T561" s="31"/>
      <c r="U561" s="33"/>
      <c r="V561" s="33"/>
      <c r="W561" s="2"/>
    </row>
    <row r="562" spans="13:23" ht="14.25" customHeight="1" x14ac:dyDescent="0.3">
      <c r="M562" s="1"/>
      <c r="N562" s="31"/>
      <c r="O562" s="31"/>
      <c r="P562" s="31"/>
      <c r="Q562" s="32"/>
      <c r="R562" s="32"/>
      <c r="S562" s="31"/>
      <c r="T562" s="31"/>
      <c r="U562" s="33"/>
      <c r="V562" s="33"/>
      <c r="W562" s="2"/>
    </row>
    <row r="563" spans="13:23" ht="14.25" customHeight="1" x14ac:dyDescent="0.3">
      <c r="M563" s="1"/>
      <c r="N563" s="31"/>
      <c r="O563" s="31"/>
      <c r="P563" s="31"/>
      <c r="Q563" s="32"/>
      <c r="R563" s="32"/>
      <c r="S563" s="31"/>
      <c r="T563" s="31"/>
      <c r="U563" s="33"/>
      <c r="V563" s="33"/>
      <c r="W563" s="2"/>
    </row>
    <row r="564" spans="13:23" ht="14.25" customHeight="1" x14ac:dyDescent="0.3">
      <c r="M564" s="1"/>
      <c r="N564" s="31"/>
      <c r="O564" s="31"/>
      <c r="P564" s="31"/>
      <c r="Q564" s="32"/>
      <c r="R564" s="32"/>
      <c r="S564" s="31"/>
      <c r="T564" s="31"/>
      <c r="U564" s="33"/>
      <c r="V564" s="33"/>
      <c r="W564" s="2"/>
    </row>
    <row r="565" spans="13:23" ht="14.25" customHeight="1" x14ac:dyDescent="0.3">
      <c r="M565" s="1"/>
      <c r="N565" s="31"/>
      <c r="O565" s="31"/>
      <c r="P565" s="31"/>
      <c r="Q565" s="32"/>
      <c r="R565" s="32"/>
      <c r="S565" s="31"/>
      <c r="T565" s="31"/>
      <c r="U565" s="33"/>
      <c r="V565" s="33"/>
      <c r="W565" s="2"/>
    </row>
    <row r="566" spans="13:23" ht="14.25" customHeight="1" x14ac:dyDescent="0.3">
      <c r="M566" s="1"/>
      <c r="N566" s="31"/>
      <c r="O566" s="31"/>
      <c r="P566" s="31"/>
      <c r="Q566" s="32"/>
      <c r="R566" s="32"/>
      <c r="S566" s="31"/>
      <c r="T566" s="31"/>
      <c r="U566" s="33"/>
      <c r="V566" s="33"/>
      <c r="W566" s="2"/>
    </row>
    <row r="567" spans="13:23" ht="14.25" customHeight="1" x14ac:dyDescent="0.3">
      <c r="M567" s="1"/>
      <c r="N567" s="31"/>
      <c r="O567" s="31"/>
      <c r="P567" s="31"/>
      <c r="Q567" s="32"/>
      <c r="R567" s="32"/>
      <c r="S567" s="31"/>
      <c r="T567" s="31"/>
      <c r="U567" s="33"/>
      <c r="V567" s="33"/>
      <c r="W567" s="2"/>
    </row>
    <row r="568" spans="13:23" ht="14.25" customHeight="1" x14ac:dyDescent="0.3">
      <c r="M568" s="1"/>
      <c r="N568" s="31"/>
      <c r="O568" s="31"/>
      <c r="P568" s="31"/>
      <c r="Q568" s="32"/>
      <c r="R568" s="32"/>
      <c r="S568" s="31"/>
      <c r="T568" s="31"/>
      <c r="U568" s="33"/>
      <c r="V568" s="33"/>
      <c r="W568" s="2"/>
    </row>
    <row r="569" spans="13:23" ht="14.25" customHeight="1" x14ac:dyDescent="0.3">
      <c r="M569" s="1"/>
      <c r="N569" s="31"/>
      <c r="O569" s="31"/>
      <c r="P569" s="31"/>
      <c r="Q569" s="32"/>
      <c r="R569" s="32"/>
      <c r="S569" s="31"/>
      <c r="T569" s="31"/>
      <c r="U569" s="33"/>
      <c r="V569" s="33"/>
      <c r="W569" s="2"/>
    </row>
    <row r="570" spans="13:23" ht="14.25" customHeight="1" x14ac:dyDescent="0.3">
      <c r="M570" s="1"/>
      <c r="N570" s="31"/>
      <c r="O570" s="31"/>
      <c r="P570" s="31"/>
      <c r="Q570" s="32"/>
      <c r="R570" s="32"/>
      <c r="S570" s="31"/>
      <c r="T570" s="31"/>
      <c r="U570" s="33"/>
      <c r="V570" s="33"/>
      <c r="W570" s="2"/>
    </row>
    <row r="571" spans="13:23" ht="14.25" customHeight="1" x14ac:dyDescent="0.3">
      <c r="M571" s="1"/>
      <c r="N571" s="31"/>
      <c r="O571" s="31"/>
      <c r="P571" s="31"/>
      <c r="Q571" s="32"/>
      <c r="R571" s="32"/>
      <c r="S571" s="31"/>
      <c r="T571" s="31"/>
      <c r="U571" s="33"/>
      <c r="V571" s="33"/>
      <c r="W571" s="2"/>
    </row>
    <row r="572" spans="13:23" ht="14.25" customHeight="1" x14ac:dyDescent="0.3">
      <c r="M572" s="1"/>
      <c r="N572" s="31"/>
      <c r="O572" s="31"/>
      <c r="P572" s="31"/>
      <c r="Q572" s="32"/>
      <c r="R572" s="32"/>
      <c r="S572" s="31"/>
      <c r="T572" s="31"/>
      <c r="U572" s="33"/>
      <c r="V572" s="33"/>
      <c r="W572" s="2"/>
    </row>
    <row r="573" spans="13:23" ht="14.25" customHeight="1" x14ac:dyDescent="0.3">
      <c r="M573" s="1"/>
      <c r="N573" s="31"/>
      <c r="O573" s="31"/>
      <c r="P573" s="31"/>
      <c r="Q573" s="32"/>
      <c r="R573" s="32"/>
      <c r="S573" s="31"/>
      <c r="T573" s="31"/>
      <c r="U573" s="33"/>
      <c r="V573" s="33"/>
      <c r="W573" s="2"/>
    </row>
    <row r="574" spans="13:23" ht="14.25" customHeight="1" x14ac:dyDescent="0.3">
      <c r="M574" s="1"/>
      <c r="N574" s="31"/>
      <c r="O574" s="31"/>
      <c r="P574" s="31"/>
      <c r="Q574" s="32"/>
      <c r="R574" s="32"/>
      <c r="S574" s="31"/>
      <c r="T574" s="31"/>
      <c r="U574" s="33"/>
      <c r="V574" s="33"/>
      <c r="W574" s="2"/>
    </row>
    <row r="575" spans="13:23" ht="14.25" customHeight="1" x14ac:dyDescent="0.3">
      <c r="M575" s="1"/>
      <c r="N575" s="31"/>
      <c r="O575" s="31"/>
      <c r="P575" s="31"/>
      <c r="Q575" s="32"/>
      <c r="R575" s="32"/>
      <c r="S575" s="31"/>
      <c r="T575" s="31"/>
      <c r="U575" s="33"/>
      <c r="V575" s="33"/>
      <c r="W575" s="2"/>
    </row>
    <row r="576" spans="13:23" ht="14.25" customHeight="1" x14ac:dyDescent="0.3">
      <c r="M576" s="1"/>
      <c r="N576" s="31"/>
      <c r="O576" s="31"/>
      <c r="P576" s="31"/>
      <c r="Q576" s="32"/>
      <c r="R576" s="32"/>
      <c r="S576" s="31"/>
      <c r="T576" s="31"/>
      <c r="U576" s="33"/>
      <c r="V576" s="33"/>
      <c r="W576" s="2"/>
    </row>
    <row r="577" spans="13:23" ht="14.25" customHeight="1" x14ac:dyDescent="0.3">
      <c r="M577" s="1"/>
      <c r="N577" s="31"/>
      <c r="O577" s="31"/>
      <c r="P577" s="31"/>
      <c r="Q577" s="32"/>
      <c r="R577" s="32"/>
      <c r="S577" s="31"/>
      <c r="T577" s="31"/>
      <c r="U577" s="33"/>
      <c r="V577" s="33"/>
      <c r="W577" s="2"/>
    </row>
    <row r="578" spans="13:23" ht="14.25" customHeight="1" x14ac:dyDescent="0.3">
      <c r="M578" s="1"/>
      <c r="N578" s="31"/>
      <c r="O578" s="31"/>
      <c r="P578" s="31"/>
      <c r="Q578" s="32"/>
      <c r="R578" s="32"/>
      <c r="S578" s="31"/>
      <c r="T578" s="31"/>
      <c r="U578" s="33"/>
      <c r="V578" s="33"/>
      <c r="W578" s="2"/>
    </row>
    <row r="579" spans="13:23" ht="14.25" customHeight="1" x14ac:dyDescent="0.3">
      <c r="M579" s="1"/>
      <c r="N579" s="31"/>
      <c r="O579" s="31"/>
      <c r="P579" s="31"/>
      <c r="Q579" s="32"/>
      <c r="R579" s="32"/>
      <c r="S579" s="31"/>
      <c r="T579" s="31"/>
      <c r="U579" s="33"/>
      <c r="V579" s="33"/>
      <c r="W579" s="2"/>
    </row>
    <row r="580" spans="13:23" ht="14.25" customHeight="1" x14ac:dyDescent="0.3">
      <c r="M580" s="1"/>
      <c r="N580" s="31"/>
      <c r="O580" s="31"/>
      <c r="P580" s="31"/>
      <c r="Q580" s="32"/>
      <c r="R580" s="32"/>
      <c r="S580" s="31"/>
      <c r="T580" s="31"/>
      <c r="U580" s="33"/>
      <c r="V580" s="33"/>
      <c r="W580" s="2"/>
    </row>
    <row r="581" spans="13:23" ht="14.25" customHeight="1" x14ac:dyDescent="0.3">
      <c r="M581" s="1"/>
      <c r="N581" s="31"/>
      <c r="O581" s="31"/>
      <c r="P581" s="31"/>
      <c r="Q581" s="32"/>
      <c r="R581" s="32"/>
      <c r="S581" s="31"/>
      <c r="T581" s="31"/>
      <c r="U581" s="33"/>
      <c r="V581" s="33"/>
      <c r="W581" s="2"/>
    </row>
    <row r="582" spans="13:23" ht="14.25" customHeight="1" x14ac:dyDescent="0.3">
      <c r="M582" s="1"/>
      <c r="N582" s="31"/>
      <c r="O582" s="31"/>
      <c r="P582" s="31"/>
      <c r="Q582" s="32"/>
      <c r="R582" s="32"/>
      <c r="S582" s="31"/>
      <c r="T582" s="31"/>
      <c r="U582" s="33"/>
      <c r="V582" s="33"/>
      <c r="W582" s="2"/>
    </row>
    <row r="583" spans="13:23" ht="14.25" customHeight="1" x14ac:dyDescent="0.3">
      <c r="M583" s="1"/>
      <c r="N583" s="31"/>
      <c r="O583" s="31"/>
      <c r="P583" s="31"/>
      <c r="Q583" s="32"/>
      <c r="R583" s="32"/>
      <c r="S583" s="31"/>
      <c r="T583" s="31"/>
      <c r="U583" s="33"/>
      <c r="V583" s="33"/>
      <c r="W583" s="2"/>
    </row>
    <row r="584" spans="13:23" ht="14.25" customHeight="1" x14ac:dyDescent="0.3">
      <c r="M584" s="1"/>
      <c r="N584" s="31"/>
      <c r="O584" s="31"/>
      <c r="P584" s="31"/>
      <c r="Q584" s="32"/>
      <c r="R584" s="32"/>
      <c r="S584" s="31"/>
      <c r="T584" s="31"/>
      <c r="U584" s="33"/>
      <c r="V584" s="33"/>
      <c r="W584" s="2"/>
    </row>
    <row r="585" spans="13:23" ht="14.25" customHeight="1" x14ac:dyDescent="0.3">
      <c r="M585" s="1"/>
      <c r="N585" s="31"/>
      <c r="O585" s="31"/>
      <c r="P585" s="31"/>
      <c r="Q585" s="32"/>
      <c r="R585" s="32"/>
      <c r="S585" s="31"/>
      <c r="T585" s="31"/>
      <c r="U585" s="33"/>
      <c r="V585" s="33"/>
      <c r="W585" s="2"/>
    </row>
    <row r="586" spans="13:23" ht="14.25" customHeight="1" x14ac:dyDescent="0.3">
      <c r="M586" s="1"/>
      <c r="N586" s="31"/>
      <c r="O586" s="31"/>
      <c r="P586" s="31"/>
      <c r="Q586" s="32"/>
      <c r="R586" s="32"/>
      <c r="S586" s="31"/>
      <c r="T586" s="31"/>
      <c r="U586" s="33"/>
      <c r="V586" s="33"/>
      <c r="W586" s="2"/>
    </row>
    <row r="587" spans="13:23" ht="14.25" customHeight="1" x14ac:dyDescent="0.3">
      <c r="M587" s="1"/>
      <c r="N587" s="31"/>
      <c r="O587" s="31"/>
      <c r="P587" s="31"/>
      <c r="Q587" s="32"/>
      <c r="R587" s="32"/>
      <c r="S587" s="31"/>
      <c r="T587" s="31"/>
      <c r="U587" s="33"/>
      <c r="V587" s="33"/>
      <c r="W587" s="2"/>
    </row>
    <row r="588" spans="13:23" ht="14.25" customHeight="1" x14ac:dyDescent="0.3">
      <c r="M588" s="1"/>
      <c r="N588" s="31"/>
      <c r="O588" s="31"/>
      <c r="P588" s="31"/>
      <c r="Q588" s="32"/>
      <c r="R588" s="32"/>
      <c r="S588" s="31"/>
      <c r="T588" s="31"/>
      <c r="U588" s="33"/>
      <c r="V588" s="33"/>
      <c r="W588" s="2"/>
    </row>
    <row r="589" spans="13:23" ht="14.25" customHeight="1" x14ac:dyDescent="0.3">
      <c r="M589" s="1"/>
      <c r="N589" s="31"/>
      <c r="O589" s="31"/>
      <c r="P589" s="31"/>
      <c r="Q589" s="32"/>
      <c r="R589" s="32"/>
      <c r="S589" s="31"/>
      <c r="T589" s="31"/>
      <c r="U589" s="33"/>
      <c r="V589" s="33"/>
      <c r="W589" s="2"/>
    </row>
    <row r="590" spans="13:23" ht="14.25" customHeight="1" x14ac:dyDescent="0.3">
      <c r="M590" s="1"/>
      <c r="N590" s="31"/>
      <c r="O590" s="31"/>
      <c r="P590" s="31"/>
      <c r="Q590" s="32"/>
      <c r="R590" s="32"/>
      <c r="S590" s="31"/>
      <c r="T590" s="31"/>
      <c r="U590" s="33"/>
      <c r="V590" s="33"/>
      <c r="W590" s="2"/>
    </row>
    <row r="591" spans="13:23" ht="14.25" customHeight="1" x14ac:dyDescent="0.3">
      <c r="M591" s="1"/>
      <c r="N591" s="31"/>
      <c r="O591" s="31"/>
      <c r="P591" s="31"/>
      <c r="Q591" s="32"/>
      <c r="R591" s="32"/>
      <c r="S591" s="31"/>
      <c r="T591" s="31"/>
      <c r="U591" s="33"/>
      <c r="V591" s="33"/>
      <c r="W591" s="2"/>
    </row>
    <row r="592" spans="13:23" ht="14.25" customHeight="1" x14ac:dyDescent="0.3">
      <c r="M592" s="1"/>
      <c r="N592" s="31"/>
      <c r="O592" s="31"/>
      <c r="P592" s="31"/>
      <c r="Q592" s="32"/>
      <c r="R592" s="32"/>
      <c r="S592" s="31"/>
      <c r="T592" s="31"/>
      <c r="U592" s="33"/>
      <c r="V592" s="33"/>
      <c r="W592" s="2"/>
    </row>
    <row r="593" spans="13:23" ht="14.25" customHeight="1" x14ac:dyDescent="0.3">
      <c r="M593" s="1"/>
      <c r="N593" s="31"/>
      <c r="O593" s="31"/>
      <c r="P593" s="31"/>
      <c r="Q593" s="32"/>
      <c r="R593" s="32"/>
      <c r="S593" s="31"/>
      <c r="T593" s="31"/>
      <c r="U593" s="33"/>
      <c r="V593" s="33"/>
      <c r="W593" s="2"/>
    </row>
    <row r="594" spans="13:23" ht="14.25" customHeight="1" x14ac:dyDescent="0.3">
      <c r="M594" s="1"/>
      <c r="N594" s="31"/>
      <c r="O594" s="31"/>
      <c r="P594" s="31"/>
      <c r="Q594" s="32"/>
      <c r="R594" s="32"/>
      <c r="S594" s="31"/>
      <c r="T594" s="31"/>
      <c r="U594" s="33"/>
      <c r="V594" s="33"/>
      <c r="W594" s="2"/>
    </row>
    <row r="595" spans="13:23" ht="14.25" customHeight="1" x14ac:dyDescent="0.3">
      <c r="M595" s="1"/>
      <c r="N595" s="31"/>
      <c r="O595" s="31"/>
      <c r="P595" s="31"/>
      <c r="Q595" s="32"/>
      <c r="R595" s="32"/>
      <c r="S595" s="31"/>
      <c r="T595" s="31"/>
      <c r="U595" s="33"/>
      <c r="V595" s="33"/>
      <c r="W595" s="2"/>
    </row>
    <row r="596" spans="13:23" ht="14.25" customHeight="1" x14ac:dyDescent="0.3">
      <c r="M596" s="1"/>
      <c r="N596" s="31"/>
      <c r="O596" s="31"/>
      <c r="P596" s="31"/>
      <c r="Q596" s="32"/>
      <c r="R596" s="32"/>
      <c r="S596" s="31"/>
      <c r="T596" s="31"/>
      <c r="U596" s="33"/>
      <c r="V596" s="33"/>
      <c r="W596" s="2"/>
    </row>
    <row r="597" spans="13:23" ht="14.25" customHeight="1" x14ac:dyDescent="0.3">
      <c r="M597" s="1"/>
      <c r="N597" s="31"/>
      <c r="O597" s="31"/>
      <c r="P597" s="31"/>
      <c r="Q597" s="32"/>
      <c r="R597" s="32"/>
      <c r="S597" s="31"/>
      <c r="T597" s="31"/>
      <c r="U597" s="33"/>
      <c r="V597" s="33"/>
      <c r="W597" s="2"/>
    </row>
    <row r="598" spans="13:23" ht="14.25" customHeight="1" x14ac:dyDescent="0.3">
      <c r="M598" s="1"/>
      <c r="N598" s="31"/>
      <c r="O598" s="31"/>
      <c r="P598" s="31"/>
      <c r="Q598" s="32"/>
      <c r="R598" s="32"/>
      <c r="S598" s="31"/>
      <c r="T598" s="31"/>
      <c r="U598" s="33"/>
      <c r="V598" s="33"/>
      <c r="W598" s="2"/>
    </row>
    <row r="599" spans="13:23" ht="14.25" customHeight="1" x14ac:dyDescent="0.3">
      <c r="M599" s="1"/>
      <c r="N599" s="31"/>
      <c r="O599" s="31"/>
      <c r="P599" s="31"/>
      <c r="Q599" s="32"/>
      <c r="R599" s="32"/>
      <c r="S599" s="31"/>
      <c r="T599" s="31"/>
      <c r="U599" s="33"/>
      <c r="V599" s="33"/>
      <c r="W599" s="2"/>
    </row>
    <row r="600" spans="13:23" ht="14.25" customHeight="1" x14ac:dyDescent="0.3">
      <c r="M600" s="1"/>
      <c r="N600" s="31"/>
      <c r="O600" s="31"/>
      <c r="P600" s="31"/>
      <c r="Q600" s="32"/>
      <c r="R600" s="32"/>
      <c r="S600" s="31"/>
      <c r="T600" s="31"/>
      <c r="U600" s="33"/>
      <c r="V600" s="33"/>
      <c r="W600" s="2"/>
    </row>
    <row r="601" spans="13:23" ht="14.25" customHeight="1" x14ac:dyDescent="0.3">
      <c r="M601" s="1"/>
      <c r="N601" s="31"/>
      <c r="O601" s="31"/>
      <c r="P601" s="31"/>
      <c r="Q601" s="32"/>
      <c r="R601" s="32"/>
      <c r="S601" s="31"/>
      <c r="T601" s="31"/>
      <c r="U601" s="33"/>
      <c r="V601" s="33"/>
      <c r="W601" s="2"/>
    </row>
    <row r="602" spans="13:23" ht="14.25" customHeight="1" x14ac:dyDescent="0.3">
      <c r="M602" s="1"/>
      <c r="N602" s="31"/>
      <c r="O602" s="31"/>
      <c r="P602" s="31"/>
      <c r="Q602" s="32"/>
      <c r="R602" s="32"/>
      <c r="S602" s="31"/>
      <c r="T602" s="31"/>
      <c r="U602" s="33"/>
      <c r="V602" s="33"/>
      <c r="W602" s="2"/>
    </row>
    <row r="603" spans="13:23" ht="14.25" customHeight="1" x14ac:dyDescent="0.3">
      <c r="M603" s="1"/>
      <c r="N603" s="31"/>
      <c r="O603" s="31"/>
      <c r="P603" s="31"/>
      <c r="Q603" s="32"/>
      <c r="R603" s="32"/>
      <c r="S603" s="31"/>
      <c r="T603" s="31"/>
      <c r="U603" s="33"/>
      <c r="V603" s="33"/>
      <c r="W603" s="2"/>
    </row>
    <row r="604" spans="13:23" ht="14.25" customHeight="1" x14ac:dyDescent="0.3">
      <c r="M604" s="1"/>
      <c r="N604" s="31"/>
      <c r="O604" s="31"/>
      <c r="P604" s="31"/>
      <c r="Q604" s="32"/>
      <c r="R604" s="32"/>
      <c r="S604" s="31"/>
      <c r="T604" s="31"/>
      <c r="U604" s="33"/>
      <c r="V604" s="33"/>
      <c r="W604" s="2"/>
    </row>
    <row r="605" spans="13:23" ht="14.25" customHeight="1" x14ac:dyDescent="0.3">
      <c r="M605" s="1"/>
      <c r="N605" s="31"/>
      <c r="O605" s="31"/>
      <c r="P605" s="31"/>
      <c r="Q605" s="32"/>
      <c r="R605" s="32"/>
      <c r="S605" s="31"/>
      <c r="T605" s="31"/>
      <c r="U605" s="33"/>
      <c r="V605" s="33"/>
      <c r="W605" s="2"/>
    </row>
    <row r="606" spans="13:23" ht="14.25" customHeight="1" x14ac:dyDescent="0.3">
      <c r="M606" s="1"/>
      <c r="N606" s="31"/>
      <c r="O606" s="31"/>
      <c r="P606" s="31"/>
      <c r="Q606" s="32"/>
      <c r="R606" s="32"/>
      <c r="S606" s="31"/>
      <c r="T606" s="31"/>
      <c r="U606" s="33"/>
      <c r="V606" s="33"/>
      <c r="W606" s="2"/>
    </row>
    <row r="607" spans="13:23" ht="14.25" customHeight="1" x14ac:dyDescent="0.3">
      <c r="M607" s="1"/>
      <c r="N607" s="31"/>
      <c r="O607" s="31"/>
      <c r="P607" s="31"/>
      <c r="Q607" s="32"/>
      <c r="R607" s="32"/>
      <c r="S607" s="31"/>
      <c r="T607" s="31"/>
      <c r="U607" s="33"/>
      <c r="V607" s="33"/>
      <c r="W607" s="2"/>
    </row>
    <row r="608" spans="13:23" ht="14.25" customHeight="1" x14ac:dyDescent="0.3">
      <c r="M608" s="1"/>
      <c r="N608" s="31"/>
      <c r="O608" s="31"/>
      <c r="P608" s="31"/>
      <c r="Q608" s="32"/>
      <c r="R608" s="32"/>
      <c r="S608" s="31"/>
      <c r="T608" s="31"/>
      <c r="U608" s="33"/>
      <c r="V608" s="33"/>
      <c r="W608" s="2"/>
    </row>
    <row r="609" spans="13:23" ht="14.25" customHeight="1" x14ac:dyDescent="0.3">
      <c r="M609" s="1"/>
      <c r="N609" s="31"/>
      <c r="O609" s="31"/>
      <c r="P609" s="31"/>
      <c r="Q609" s="32"/>
      <c r="R609" s="32"/>
      <c r="S609" s="31"/>
      <c r="T609" s="31"/>
      <c r="U609" s="33"/>
      <c r="V609" s="33"/>
      <c r="W609" s="2"/>
    </row>
    <row r="610" spans="13:23" ht="14.25" customHeight="1" x14ac:dyDescent="0.3">
      <c r="M610" s="1"/>
      <c r="N610" s="31"/>
      <c r="O610" s="31"/>
      <c r="P610" s="31"/>
      <c r="Q610" s="32"/>
      <c r="R610" s="32"/>
      <c r="S610" s="31"/>
      <c r="T610" s="31"/>
      <c r="U610" s="33"/>
      <c r="V610" s="33"/>
      <c r="W610" s="2"/>
    </row>
    <row r="611" spans="13:23" ht="14.25" customHeight="1" x14ac:dyDescent="0.3">
      <c r="M611" s="1"/>
      <c r="N611" s="31"/>
      <c r="O611" s="31"/>
      <c r="P611" s="31"/>
      <c r="Q611" s="32"/>
      <c r="R611" s="32"/>
      <c r="S611" s="31"/>
      <c r="T611" s="31"/>
      <c r="U611" s="33"/>
      <c r="V611" s="33"/>
      <c r="W611" s="2"/>
    </row>
    <row r="612" spans="13:23" ht="14.25" customHeight="1" x14ac:dyDescent="0.3">
      <c r="M612" s="1"/>
      <c r="N612" s="31"/>
      <c r="O612" s="31"/>
      <c r="P612" s="31"/>
      <c r="Q612" s="32"/>
      <c r="R612" s="32"/>
      <c r="S612" s="31"/>
      <c r="T612" s="31"/>
      <c r="U612" s="33"/>
      <c r="V612" s="33"/>
      <c r="W612" s="2"/>
    </row>
    <row r="613" spans="13:23" ht="14.25" customHeight="1" x14ac:dyDescent="0.3">
      <c r="M613" s="1"/>
      <c r="N613" s="31"/>
      <c r="O613" s="31"/>
      <c r="P613" s="31"/>
      <c r="Q613" s="32"/>
      <c r="R613" s="32"/>
      <c r="S613" s="31"/>
      <c r="T613" s="31"/>
      <c r="U613" s="33"/>
      <c r="V613" s="33"/>
      <c r="W613" s="2"/>
    </row>
    <row r="614" spans="13:23" ht="14.25" customHeight="1" x14ac:dyDescent="0.3">
      <c r="M614" s="1"/>
      <c r="N614" s="31"/>
      <c r="O614" s="31"/>
      <c r="P614" s="31"/>
      <c r="Q614" s="32"/>
      <c r="R614" s="32"/>
      <c r="S614" s="31"/>
      <c r="T614" s="31"/>
      <c r="U614" s="33"/>
      <c r="V614" s="33"/>
      <c r="W614" s="2"/>
    </row>
    <row r="615" spans="13:23" ht="14.25" customHeight="1" x14ac:dyDescent="0.3">
      <c r="M615" s="1"/>
      <c r="N615" s="31"/>
      <c r="O615" s="31"/>
      <c r="P615" s="31"/>
      <c r="Q615" s="32"/>
      <c r="R615" s="32"/>
      <c r="S615" s="31"/>
      <c r="T615" s="31"/>
      <c r="U615" s="33"/>
      <c r="V615" s="33"/>
      <c r="W615" s="2"/>
    </row>
    <row r="616" spans="13:23" ht="14.25" customHeight="1" x14ac:dyDescent="0.3">
      <c r="M616" s="1"/>
      <c r="N616" s="31"/>
      <c r="O616" s="31"/>
      <c r="P616" s="31"/>
      <c r="Q616" s="32"/>
      <c r="R616" s="32"/>
      <c r="S616" s="31"/>
      <c r="T616" s="31"/>
      <c r="U616" s="33"/>
      <c r="V616" s="33"/>
      <c r="W616" s="2"/>
    </row>
    <row r="617" spans="13:23" ht="14.25" customHeight="1" x14ac:dyDescent="0.3">
      <c r="M617" s="1"/>
      <c r="N617" s="31"/>
      <c r="O617" s="31"/>
      <c r="P617" s="31"/>
      <c r="Q617" s="32"/>
      <c r="R617" s="32"/>
      <c r="S617" s="31"/>
      <c r="T617" s="31"/>
      <c r="U617" s="33"/>
      <c r="V617" s="33"/>
      <c r="W617" s="2"/>
    </row>
    <row r="618" spans="13:23" ht="14.25" customHeight="1" x14ac:dyDescent="0.3">
      <c r="M618" s="1"/>
      <c r="N618" s="31"/>
      <c r="O618" s="31"/>
      <c r="P618" s="31"/>
      <c r="Q618" s="32"/>
      <c r="R618" s="32"/>
      <c r="S618" s="31"/>
      <c r="T618" s="31"/>
      <c r="U618" s="33"/>
      <c r="V618" s="33"/>
      <c r="W618" s="2"/>
    </row>
    <row r="619" spans="13:23" ht="14.25" customHeight="1" x14ac:dyDescent="0.3">
      <c r="M619" s="1"/>
      <c r="N619" s="31"/>
      <c r="O619" s="31"/>
      <c r="P619" s="31"/>
      <c r="Q619" s="32"/>
      <c r="R619" s="32"/>
      <c r="S619" s="31"/>
      <c r="T619" s="31"/>
      <c r="U619" s="33"/>
      <c r="V619" s="33"/>
      <c r="W619" s="2"/>
    </row>
    <row r="620" spans="13:23" ht="14.25" customHeight="1" x14ac:dyDescent="0.3">
      <c r="M620" s="1"/>
      <c r="N620" s="31"/>
      <c r="O620" s="31"/>
      <c r="P620" s="31"/>
      <c r="Q620" s="32"/>
      <c r="R620" s="32"/>
      <c r="S620" s="31"/>
      <c r="T620" s="31"/>
      <c r="U620" s="33"/>
      <c r="V620" s="33"/>
      <c r="W620" s="2"/>
    </row>
    <row r="621" spans="13:23" ht="14.25" customHeight="1" x14ac:dyDescent="0.3">
      <c r="M621" s="1"/>
      <c r="N621" s="31"/>
      <c r="O621" s="31"/>
      <c r="P621" s="31"/>
      <c r="Q621" s="32"/>
      <c r="R621" s="32"/>
      <c r="S621" s="31"/>
      <c r="T621" s="31"/>
      <c r="U621" s="33"/>
      <c r="V621" s="33"/>
      <c r="W621" s="2"/>
    </row>
    <row r="622" spans="13:23" ht="14.25" customHeight="1" x14ac:dyDescent="0.3">
      <c r="M622" s="1"/>
      <c r="N622" s="31"/>
      <c r="O622" s="31"/>
      <c r="P622" s="31"/>
      <c r="Q622" s="32"/>
      <c r="R622" s="32"/>
      <c r="S622" s="31"/>
      <c r="T622" s="31"/>
      <c r="U622" s="33"/>
      <c r="V622" s="33"/>
      <c r="W622" s="2"/>
    </row>
    <row r="623" spans="13:23" ht="14.25" customHeight="1" x14ac:dyDescent="0.3">
      <c r="M623" s="1"/>
      <c r="N623" s="31"/>
      <c r="O623" s="31"/>
      <c r="P623" s="31"/>
      <c r="Q623" s="32"/>
      <c r="R623" s="32"/>
      <c r="S623" s="31"/>
      <c r="T623" s="31"/>
      <c r="U623" s="33"/>
      <c r="V623" s="33"/>
      <c r="W623" s="2"/>
    </row>
    <row r="624" spans="13:23" ht="14.25" customHeight="1" x14ac:dyDescent="0.3">
      <c r="M624" s="1"/>
      <c r="N624" s="31"/>
      <c r="O624" s="31"/>
      <c r="P624" s="31"/>
      <c r="Q624" s="32"/>
      <c r="R624" s="32"/>
      <c r="S624" s="31"/>
      <c r="T624" s="31"/>
      <c r="U624" s="33"/>
      <c r="V624" s="33"/>
      <c r="W624" s="2"/>
    </row>
    <row r="625" spans="13:23" ht="14.25" customHeight="1" x14ac:dyDescent="0.3">
      <c r="M625" s="1"/>
      <c r="N625" s="31"/>
      <c r="O625" s="31"/>
      <c r="P625" s="31"/>
      <c r="Q625" s="32"/>
      <c r="R625" s="32"/>
      <c r="S625" s="31"/>
      <c r="T625" s="31"/>
      <c r="U625" s="33"/>
      <c r="V625" s="33"/>
      <c r="W625" s="2"/>
    </row>
    <row r="626" spans="13:23" ht="14.25" customHeight="1" x14ac:dyDescent="0.3">
      <c r="M626" s="1"/>
      <c r="N626" s="31"/>
      <c r="O626" s="31"/>
      <c r="P626" s="31"/>
      <c r="Q626" s="32"/>
      <c r="R626" s="32"/>
      <c r="S626" s="31"/>
      <c r="T626" s="31"/>
      <c r="U626" s="33"/>
      <c r="V626" s="33"/>
      <c r="W626" s="2"/>
    </row>
    <row r="627" spans="13:23" ht="14.25" customHeight="1" x14ac:dyDescent="0.3">
      <c r="M627" s="1"/>
      <c r="N627" s="31"/>
      <c r="O627" s="31"/>
      <c r="P627" s="31"/>
      <c r="Q627" s="32"/>
      <c r="R627" s="32"/>
      <c r="S627" s="31"/>
      <c r="T627" s="31"/>
      <c r="U627" s="33"/>
      <c r="V627" s="33"/>
      <c r="W627" s="2"/>
    </row>
    <row r="628" spans="13:23" ht="14.25" customHeight="1" x14ac:dyDescent="0.3">
      <c r="M628" s="1"/>
      <c r="N628" s="31"/>
      <c r="O628" s="31"/>
      <c r="P628" s="31"/>
      <c r="Q628" s="32"/>
      <c r="R628" s="32"/>
      <c r="S628" s="31"/>
      <c r="T628" s="31"/>
      <c r="U628" s="33"/>
      <c r="V628" s="33"/>
      <c r="W628" s="2"/>
    </row>
    <row r="629" spans="13:23" ht="14.25" customHeight="1" x14ac:dyDescent="0.3">
      <c r="M629" s="1"/>
      <c r="N629" s="31"/>
      <c r="O629" s="31"/>
      <c r="P629" s="31"/>
      <c r="Q629" s="32"/>
      <c r="R629" s="32"/>
      <c r="S629" s="31"/>
      <c r="T629" s="31"/>
      <c r="U629" s="33"/>
      <c r="V629" s="33"/>
      <c r="W629" s="2"/>
    </row>
    <row r="630" spans="13:23" ht="14.25" customHeight="1" x14ac:dyDescent="0.3">
      <c r="M630" s="1"/>
      <c r="N630" s="31"/>
      <c r="O630" s="31"/>
      <c r="P630" s="31"/>
      <c r="Q630" s="32"/>
      <c r="R630" s="32"/>
      <c r="S630" s="31"/>
      <c r="T630" s="31"/>
      <c r="U630" s="33"/>
      <c r="V630" s="33"/>
      <c r="W630" s="2"/>
    </row>
    <row r="631" spans="13:23" ht="14.25" customHeight="1" x14ac:dyDescent="0.3">
      <c r="M631" s="1"/>
      <c r="N631" s="31"/>
      <c r="O631" s="31"/>
      <c r="P631" s="31"/>
      <c r="Q631" s="32"/>
      <c r="R631" s="32"/>
      <c r="S631" s="31"/>
      <c r="T631" s="31"/>
      <c r="U631" s="33"/>
      <c r="V631" s="33"/>
      <c r="W631" s="2"/>
    </row>
    <row r="632" spans="13:23" ht="14.25" customHeight="1" x14ac:dyDescent="0.3">
      <c r="M632" s="1"/>
      <c r="N632" s="31"/>
      <c r="O632" s="31"/>
      <c r="P632" s="31"/>
      <c r="Q632" s="32"/>
      <c r="R632" s="32"/>
      <c r="S632" s="31"/>
      <c r="T632" s="31"/>
      <c r="U632" s="33"/>
      <c r="V632" s="33"/>
      <c r="W632" s="2"/>
    </row>
    <row r="633" spans="13:23" ht="14.25" customHeight="1" x14ac:dyDescent="0.3">
      <c r="M633" s="1"/>
      <c r="N633" s="31"/>
      <c r="O633" s="31"/>
      <c r="P633" s="31"/>
      <c r="Q633" s="32"/>
      <c r="R633" s="32"/>
      <c r="S633" s="31"/>
      <c r="T633" s="31"/>
      <c r="U633" s="33"/>
      <c r="V633" s="33"/>
      <c r="W633" s="2"/>
    </row>
    <row r="634" spans="13:23" ht="14.25" customHeight="1" x14ac:dyDescent="0.3">
      <c r="M634" s="1"/>
      <c r="N634" s="31"/>
      <c r="O634" s="31"/>
      <c r="P634" s="31"/>
      <c r="Q634" s="32"/>
      <c r="R634" s="32"/>
      <c r="S634" s="31"/>
      <c r="T634" s="31"/>
      <c r="U634" s="33"/>
      <c r="V634" s="33"/>
      <c r="W634" s="2"/>
    </row>
    <row r="635" spans="13:23" ht="14.25" customHeight="1" x14ac:dyDescent="0.3">
      <c r="M635" s="1"/>
      <c r="N635" s="31"/>
      <c r="O635" s="31"/>
      <c r="P635" s="31"/>
      <c r="Q635" s="32"/>
      <c r="R635" s="32"/>
      <c r="S635" s="31"/>
      <c r="T635" s="31"/>
      <c r="U635" s="33"/>
      <c r="V635" s="33"/>
      <c r="W635" s="2"/>
    </row>
    <row r="636" spans="13:23" ht="14.25" customHeight="1" x14ac:dyDescent="0.3">
      <c r="M636" s="1"/>
      <c r="N636" s="31"/>
      <c r="O636" s="31"/>
      <c r="P636" s="31"/>
      <c r="Q636" s="32"/>
      <c r="R636" s="32"/>
      <c r="S636" s="31"/>
      <c r="T636" s="31"/>
      <c r="U636" s="33"/>
      <c r="V636" s="33"/>
      <c r="W636" s="2"/>
    </row>
    <row r="637" spans="13:23" ht="14.25" customHeight="1" x14ac:dyDescent="0.3">
      <c r="M637" s="1"/>
      <c r="N637" s="31"/>
      <c r="O637" s="31"/>
      <c r="P637" s="31"/>
      <c r="Q637" s="32"/>
      <c r="R637" s="32"/>
      <c r="S637" s="31"/>
      <c r="T637" s="31"/>
      <c r="U637" s="33"/>
      <c r="V637" s="33"/>
      <c r="W637" s="2"/>
    </row>
    <row r="638" spans="13:23" ht="14.25" customHeight="1" x14ac:dyDescent="0.3">
      <c r="M638" s="1"/>
      <c r="N638" s="31"/>
      <c r="O638" s="31"/>
      <c r="P638" s="31"/>
      <c r="Q638" s="32"/>
      <c r="R638" s="32"/>
      <c r="S638" s="31"/>
      <c r="T638" s="31"/>
      <c r="U638" s="33"/>
      <c r="V638" s="33"/>
      <c r="W638" s="2"/>
    </row>
    <row r="639" spans="13:23" ht="14.25" customHeight="1" x14ac:dyDescent="0.3">
      <c r="M639" s="1"/>
      <c r="N639" s="31"/>
      <c r="O639" s="31"/>
      <c r="P639" s="31"/>
      <c r="Q639" s="32"/>
      <c r="R639" s="32"/>
      <c r="S639" s="31"/>
      <c r="T639" s="31"/>
      <c r="U639" s="33"/>
      <c r="V639" s="33"/>
      <c r="W639" s="2"/>
    </row>
    <row r="640" spans="13:23" ht="14.25" customHeight="1" x14ac:dyDescent="0.3">
      <c r="M640" s="1"/>
      <c r="N640" s="31"/>
      <c r="O640" s="31"/>
      <c r="P640" s="31"/>
      <c r="Q640" s="32"/>
      <c r="R640" s="32"/>
      <c r="S640" s="31"/>
      <c r="T640" s="31"/>
      <c r="U640" s="33"/>
      <c r="V640" s="33"/>
      <c r="W640" s="2"/>
    </row>
    <row r="641" spans="13:23" ht="14.25" customHeight="1" x14ac:dyDescent="0.3">
      <c r="M641" s="1"/>
      <c r="N641" s="31"/>
      <c r="O641" s="31"/>
      <c r="P641" s="31"/>
      <c r="Q641" s="32"/>
      <c r="R641" s="32"/>
      <c r="S641" s="31"/>
      <c r="T641" s="31"/>
      <c r="U641" s="33"/>
      <c r="V641" s="33"/>
      <c r="W641" s="2"/>
    </row>
    <row r="642" spans="13:23" ht="14.25" customHeight="1" x14ac:dyDescent="0.3">
      <c r="M642" s="1"/>
      <c r="N642" s="31"/>
      <c r="O642" s="31"/>
      <c r="P642" s="31"/>
      <c r="Q642" s="32"/>
      <c r="R642" s="32"/>
      <c r="S642" s="31"/>
      <c r="T642" s="31"/>
      <c r="U642" s="33"/>
      <c r="V642" s="33"/>
      <c r="W642" s="2"/>
    </row>
    <row r="643" spans="13:23" ht="14.25" customHeight="1" x14ac:dyDescent="0.3">
      <c r="M643" s="1"/>
      <c r="N643" s="31"/>
      <c r="O643" s="31"/>
      <c r="P643" s="31"/>
      <c r="Q643" s="32"/>
      <c r="R643" s="32"/>
      <c r="S643" s="31"/>
      <c r="T643" s="31"/>
      <c r="U643" s="33"/>
      <c r="V643" s="33"/>
      <c r="W643" s="2"/>
    </row>
    <row r="644" spans="13:23" ht="14.25" customHeight="1" x14ac:dyDescent="0.3">
      <c r="M644" s="1"/>
      <c r="N644" s="31"/>
      <c r="O644" s="31"/>
      <c r="P644" s="31"/>
      <c r="Q644" s="32"/>
      <c r="R644" s="32"/>
      <c r="S644" s="31"/>
      <c r="T644" s="31"/>
      <c r="U644" s="33"/>
      <c r="V644" s="33"/>
      <c r="W644" s="2"/>
    </row>
    <row r="645" spans="13:23" ht="14.25" customHeight="1" x14ac:dyDescent="0.3">
      <c r="M645" s="1"/>
      <c r="N645" s="31"/>
      <c r="O645" s="31"/>
      <c r="P645" s="31"/>
      <c r="Q645" s="32"/>
      <c r="R645" s="32"/>
      <c r="S645" s="31"/>
      <c r="T645" s="31"/>
      <c r="U645" s="33"/>
      <c r="V645" s="33"/>
      <c r="W645" s="2"/>
    </row>
    <row r="646" spans="13:23" ht="14.25" customHeight="1" x14ac:dyDescent="0.3">
      <c r="M646" s="1"/>
      <c r="N646" s="31"/>
      <c r="O646" s="31"/>
      <c r="P646" s="31"/>
      <c r="Q646" s="32"/>
      <c r="R646" s="32"/>
      <c r="S646" s="31"/>
      <c r="T646" s="31"/>
      <c r="U646" s="33"/>
      <c r="V646" s="33"/>
      <c r="W646" s="2"/>
    </row>
    <row r="647" spans="13:23" ht="14.25" customHeight="1" x14ac:dyDescent="0.3">
      <c r="M647" s="1"/>
      <c r="N647" s="31"/>
      <c r="O647" s="31"/>
      <c r="P647" s="31"/>
      <c r="Q647" s="32"/>
      <c r="R647" s="32"/>
      <c r="S647" s="31"/>
      <c r="T647" s="31"/>
      <c r="U647" s="33"/>
      <c r="V647" s="33"/>
      <c r="W647" s="2"/>
    </row>
    <row r="648" spans="13:23" ht="14.25" customHeight="1" x14ac:dyDescent="0.3">
      <c r="M648" s="1"/>
      <c r="N648" s="31"/>
      <c r="O648" s="31"/>
      <c r="P648" s="31"/>
      <c r="Q648" s="32"/>
      <c r="R648" s="32"/>
      <c r="S648" s="31"/>
      <c r="T648" s="31"/>
      <c r="U648" s="33"/>
      <c r="V648" s="33"/>
      <c r="W648" s="2"/>
    </row>
    <row r="649" spans="13:23" ht="14.25" customHeight="1" x14ac:dyDescent="0.3">
      <c r="M649" s="1"/>
      <c r="N649" s="31"/>
      <c r="O649" s="31"/>
      <c r="P649" s="31"/>
      <c r="Q649" s="32"/>
      <c r="R649" s="32"/>
      <c r="S649" s="31"/>
      <c r="T649" s="31"/>
      <c r="U649" s="33"/>
      <c r="V649" s="33"/>
      <c r="W649" s="2"/>
    </row>
    <row r="650" spans="13:23" ht="14.25" customHeight="1" x14ac:dyDescent="0.3">
      <c r="M650" s="1"/>
      <c r="N650" s="31"/>
      <c r="O650" s="31"/>
      <c r="P650" s="31"/>
      <c r="Q650" s="32"/>
      <c r="R650" s="32"/>
      <c r="S650" s="31"/>
      <c r="T650" s="31"/>
      <c r="U650" s="33"/>
      <c r="V650" s="33"/>
      <c r="W650" s="2"/>
    </row>
    <row r="651" spans="13:23" ht="14.25" customHeight="1" x14ac:dyDescent="0.3">
      <c r="M651" s="1"/>
      <c r="N651" s="31"/>
      <c r="O651" s="31"/>
      <c r="P651" s="31"/>
      <c r="Q651" s="32"/>
      <c r="R651" s="32"/>
      <c r="S651" s="31"/>
      <c r="T651" s="31"/>
      <c r="U651" s="33"/>
      <c r="V651" s="33"/>
      <c r="W651" s="2"/>
    </row>
    <row r="652" spans="13:23" ht="14.25" customHeight="1" x14ac:dyDescent="0.3">
      <c r="M652" s="1"/>
      <c r="N652" s="31"/>
      <c r="O652" s="31"/>
      <c r="P652" s="31"/>
      <c r="Q652" s="32"/>
      <c r="R652" s="32"/>
      <c r="S652" s="31"/>
      <c r="T652" s="31"/>
      <c r="U652" s="33"/>
      <c r="V652" s="33"/>
      <c r="W652" s="2"/>
    </row>
    <row r="653" spans="13:23" ht="14.25" customHeight="1" x14ac:dyDescent="0.3">
      <c r="M653" s="1"/>
      <c r="N653" s="31"/>
      <c r="O653" s="31"/>
      <c r="P653" s="31"/>
      <c r="Q653" s="32"/>
      <c r="R653" s="32"/>
      <c r="S653" s="31"/>
      <c r="T653" s="31"/>
      <c r="U653" s="33"/>
      <c r="V653" s="33"/>
      <c r="W653" s="2"/>
    </row>
    <row r="654" spans="13:23" ht="14.25" customHeight="1" x14ac:dyDescent="0.3">
      <c r="M654" s="1"/>
      <c r="N654" s="31"/>
      <c r="O654" s="31"/>
      <c r="P654" s="31"/>
      <c r="Q654" s="32"/>
      <c r="R654" s="32"/>
      <c r="S654" s="31"/>
      <c r="T654" s="31"/>
      <c r="U654" s="33"/>
      <c r="V654" s="33"/>
      <c r="W654" s="2"/>
    </row>
    <row r="655" spans="13:23" ht="14.25" customHeight="1" x14ac:dyDescent="0.3">
      <c r="M655" s="1"/>
      <c r="N655" s="31"/>
      <c r="O655" s="31"/>
      <c r="P655" s="31"/>
      <c r="Q655" s="32"/>
      <c r="R655" s="32"/>
      <c r="S655" s="31"/>
      <c r="T655" s="31"/>
      <c r="U655" s="33"/>
      <c r="V655" s="33"/>
      <c r="W655" s="2"/>
    </row>
    <row r="656" spans="13:23" ht="14.25" customHeight="1" x14ac:dyDescent="0.3">
      <c r="M656" s="1"/>
      <c r="N656" s="31"/>
      <c r="O656" s="31"/>
      <c r="P656" s="31"/>
      <c r="Q656" s="32"/>
      <c r="R656" s="32"/>
      <c r="S656" s="31"/>
      <c r="T656" s="31"/>
      <c r="U656" s="33"/>
      <c r="V656" s="33"/>
      <c r="W656" s="2"/>
    </row>
    <row r="657" spans="13:23" ht="14.25" customHeight="1" x14ac:dyDescent="0.3">
      <c r="M657" s="1"/>
      <c r="N657" s="31"/>
      <c r="O657" s="31"/>
      <c r="P657" s="31"/>
      <c r="Q657" s="32"/>
      <c r="R657" s="32"/>
      <c r="S657" s="31"/>
      <c r="T657" s="31"/>
      <c r="U657" s="33"/>
      <c r="V657" s="33"/>
      <c r="W657" s="2"/>
    </row>
    <row r="658" spans="13:23" ht="14.25" customHeight="1" x14ac:dyDescent="0.3">
      <c r="M658" s="1"/>
      <c r="N658" s="31"/>
      <c r="O658" s="31"/>
      <c r="P658" s="31"/>
      <c r="Q658" s="32"/>
      <c r="R658" s="32"/>
      <c r="S658" s="31"/>
      <c r="T658" s="31"/>
      <c r="U658" s="33"/>
      <c r="V658" s="33"/>
      <c r="W658" s="2"/>
    </row>
    <row r="659" spans="13:23" ht="14.25" customHeight="1" x14ac:dyDescent="0.3">
      <c r="M659" s="1"/>
      <c r="N659" s="31"/>
      <c r="O659" s="31"/>
      <c r="P659" s="31"/>
      <c r="Q659" s="32"/>
      <c r="R659" s="32"/>
      <c r="S659" s="31"/>
      <c r="T659" s="31"/>
      <c r="U659" s="33"/>
      <c r="V659" s="33"/>
      <c r="W659" s="2"/>
    </row>
    <row r="660" spans="13:23" ht="14.25" customHeight="1" x14ac:dyDescent="0.3">
      <c r="M660" s="1"/>
      <c r="N660" s="31"/>
      <c r="O660" s="31"/>
      <c r="P660" s="31"/>
      <c r="Q660" s="32"/>
      <c r="R660" s="32"/>
      <c r="S660" s="31"/>
      <c r="T660" s="31"/>
      <c r="U660" s="33"/>
      <c r="V660" s="33"/>
      <c r="W660" s="2"/>
    </row>
    <row r="661" spans="13:23" ht="14.25" customHeight="1" x14ac:dyDescent="0.3">
      <c r="M661" s="1"/>
      <c r="N661" s="31"/>
      <c r="O661" s="31"/>
      <c r="P661" s="31"/>
      <c r="Q661" s="32"/>
      <c r="R661" s="32"/>
      <c r="S661" s="31"/>
      <c r="T661" s="31"/>
      <c r="U661" s="33"/>
      <c r="V661" s="33"/>
      <c r="W661" s="2"/>
    </row>
    <row r="662" spans="13:23" ht="14.25" customHeight="1" x14ac:dyDescent="0.3">
      <c r="M662" s="1"/>
      <c r="N662" s="31"/>
      <c r="O662" s="31"/>
      <c r="P662" s="31"/>
      <c r="Q662" s="32"/>
      <c r="R662" s="32"/>
      <c r="S662" s="31"/>
      <c r="T662" s="31"/>
      <c r="U662" s="33"/>
      <c r="V662" s="33"/>
      <c r="W662" s="2"/>
    </row>
    <row r="663" spans="13:23" ht="14.25" customHeight="1" x14ac:dyDescent="0.3">
      <c r="M663" s="1"/>
      <c r="N663" s="31"/>
      <c r="O663" s="31"/>
      <c r="P663" s="31"/>
      <c r="Q663" s="32"/>
      <c r="R663" s="32"/>
      <c r="S663" s="31"/>
      <c r="T663" s="31"/>
      <c r="U663" s="33"/>
      <c r="V663" s="33"/>
      <c r="W663" s="2"/>
    </row>
    <row r="664" spans="13:23" ht="14.25" customHeight="1" x14ac:dyDescent="0.3">
      <c r="M664" s="1"/>
      <c r="N664" s="31"/>
      <c r="O664" s="31"/>
      <c r="P664" s="31"/>
      <c r="Q664" s="32"/>
      <c r="R664" s="32"/>
      <c r="S664" s="31"/>
      <c r="T664" s="31"/>
      <c r="U664" s="33"/>
      <c r="V664" s="33"/>
      <c r="W664" s="2"/>
    </row>
    <row r="665" spans="13:23" ht="14.25" customHeight="1" x14ac:dyDescent="0.3">
      <c r="M665" s="1"/>
      <c r="N665" s="31"/>
      <c r="O665" s="31"/>
      <c r="P665" s="31"/>
      <c r="Q665" s="32"/>
      <c r="R665" s="32"/>
      <c r="S665" s="31"/>
      <c r="T665" s="31"/>
      <c r="U665" s="33"/>
      <c r="V665" s="33"/>
      <c r="W665" s="2"/>
    </row>
    <row r="666" spans="13:23" ht="14.25" customHeight="1" x14ac:dyDescent="0.3">
      <c r="M666" s="1"/>
      <c r="N666" s="31"/>
      <c r="O666" s="31"/>
      <c r="P666" s="31"/>
      <c r="Q666" s="32"/>
      <c r="R666" s="32"/>
      <c r="S666" s="31"/>
      <c r="T666" s="31"/>
      <c r="U666" s="33"/>
      <c r="V666" s="33"/>
      <c r="W666" s="2"/>
    </row>
    <row r="667" spans="13:23" ht="14.25" customHeight="1" x14ac:dyDescent="0.3">
      <c r="M667" s="1"/>
      <c r="N667" s="31"/>
      <c r="O667" s="31"/>
      <c r="P667" s="31"/>
      <c r="Q667" s="32"/>
      <c r="R667" s="32"/>
      <c r="S667" s="31"/>
      <c r="T667" s="31"/>
      <c r="U667" s="33"/>
      <c r="V667" s="33"/>
      <c r="W667" s="2"/>
    </row>
    <row r="668" spans="13:23" ht="14.25" customHeight="1" x14ac:dyDescent="0.3">
      <c r="M668" s="1"/>
      <c r="N668" s="31"/>
      <c r="O668" s="31"/>
      <c r="P668" s="31"/>
      <c r="Q668" s="32"/>
      <c r="R668" s="32"/>
      <c r="S668" s="31"/>
      <c r="T668" s="31"/>
      <c r="U668" s="33"/>
      <c r="V668" s="33"/>
      <c r="W668" s="2"/>
    </row>
    <row r="669" spans="13:23" ht="14.25" customHeight="1" x14ac:dyDescent="0.3">
      <c r="M669" s="1"/>
      <c r="N669" s="31"/>
      <c r="O669" s="31"/>
      <c r="P669" s="31"/>
      <c r="Q669" s="32"/>
      <c r="R669" s="32"/>
      <c r="S669" s="31"/>
      <c r="T669" s="31"/>
      <c r="U669" s="33"/>
      <c r="V669" s="33"/>
      <c r="W669" s="2"/>
    </row>
    <row r="670" spans="13:23" ht="14.25" customHeight="1" x14ac:dyDescent="0.3">
      <c r="M670" s="1"/>
      <c r="N670" s="31"/>
      <c r="O670" s="31"/>
      <c r="P670" s="31"/>
      <c r="Q670" s="32"/>
      <c r="R670" s="32"/>
      <c r="S670" s="31"/>
      <c r="T670" s="31"/>
      <c r="U670" s="33"/>
      <c r="V670" s="33"/>
      <c r="W670" s="2"/>
    </row>
    <row r="671" spans="13:23" ht="14.25" customHeight="1" x14ac:dyDescent="0.3">
      <c r="M671" s="1"/>
      <c r="N671" s="31"/>
      <c r="O671" s="31"/>
      <c r="P671" s="31"/>
      <c r="Q671" s="32"/>
      <c r="R671" s="32"/>
      <c r="S671" s="31"/>
      <c r="T671" s="31"/>
      <c r="U671" s="33"/>
      <c r="V671" s="33"/>
      <c r="W671" s="2"/>
    </row>
    <row r="672" spans="13:23" ht="14.25" customHeight="1" x14ac:dyDescent="0.3">
      <c r="M672" s="1"/>
      <c r="N672" s="31"/>
      <c r="O672" s="31"/>
      <c r="P672" s="31"/>
      <c r="Q672" s="32"/>
      <c r="R672" s="32"/>
      <c r="S672" s="31"/>
      <c r="T672" s="31"/>
      <c r="U672" s="33"/>
      <c r="V672" s="33"/>
      <c r="W672" s="2"/>
    </row>
    <row r="673" spans="13:23" ht="14.25" customHeight="1" x14ac:dyDescent="0.3">
      <c r="M673" s="1"/>
      <c r="N673" s="31"/>
      <c r="O673" s="31"/>
      <c r="P673" s="31"/>
      <c r="Q673" s="32"/>
      <c r="R673" s="32"/>
      <c r="S673" s="31"/>
      <c r="T673" s="31"/>
      <c r="U673" s="33"/>
      <c r="V673" s="33"/>
      <c r="W673" s="2"/>
    </row>
    <row r="674" spans="13:23" ht="14.25" customHeight="1" x14ac:dyDescent="0.3">
      <c r="M674" s="1"/>
      <c r="N674" s="31"/>
      <c r="O674" s="31"/>
      <c r="P674" s="31"/>
      <c r="Q674" s="32"/>
      <c r="R674" s="32"/>
      <c r="S674" s="31"/>
      <c r="T674" s="31"/>
      <c r="U674" s="33"/>
      <c r="V674" s="33"/>
      <c r="W674" s="2"/>
    </row>
    <row r="675" spans="13:23" ht="14.25" customHeight="1" x14ac:dyDescent="0.3">
      <c r="M675" s="1"/>
      <c r="N675" s="31"/>
      <c r="O675" s="31"/>
      <c r="P675" s="31"/>
      <c r="Q675" s="32"/>
      <c r="R675" s="32"/>
      <c r="S675" s="31"/>
      <c r="T675" s="31"/>
      <c r="U675" s="33"/>
      <c r="V675" s="33"/>
      <c r="W675" s="2"/>
    </row>
    <row r="676" spans="13:23" ht="14.25" customHeight="1" x14ac:dyDescent="0.3">
      <c r="M676" s="1"/>
      <c r="N676" s="31"/>
      <c r="O676" s="31"/>
      <c r="P676" s="31"/>
      <c r="Q676" s="32"/>
      <c r="R676" s="32"/>
      <c r="S676" s="31"/>
      <c r="T676" s="31"/>
      <c r="U676" s="33"/>
      <c r="V676" s="33"/>
      <c r="W676" s="2"/>
    </row>
    <row r="677" spans="13:23" ht="14.25" customHeight="1" x14ac:dyDescent="0.3">
      <c r="M677" s="1"/>
      <c r="N677" s="31"/>
      <c r="O677" s="31"/>
      <c r="P677" s="31"/>
      <c r="Q677" s="32"/>
      <c r="R677" s="32"/>
      <c r="S677" s="31"/>
      <c r="T677" s="31"/>
      <c r="U677" s="33"/>
      <c r="V677" s="33"/>
      <c r="W677" s="2"/>
    </row>
    <row r="678" spans="13:23" ht="14.25" customHeight="1" x14ac:dyDescent="0.3">
      <c r="M678" s="1"/>
      <c r="N678" s="31"/>
      <c r="O678" s="31"/>
      <c r="P678" s="31"/>
      <c r="Q678" s="32"/>
      <c r="R678" s="32"/>
      <c r="S678" s="31"/>
      <c r="T678" s="31"/>
      <c r="U678" s="33"/>
      <c r="V678" s="33"/>
      <c r="W678" s="2"/>
    </row>
    <row r="679" spans="13:23" ht="14.25" customHeight="1" x14ac:dyDescent="0.3">
      <c r="M679" s="1"/>
      <c r="N679" s="31"/>
      <c r="O679" s="31"/>
      <c r="P679" s="31"/>
      <c r="Q679" s="32"/>
      <c r="R679" s="32"/>
      <c r="S679" s="31"/>
      <c r="T679" s="31"/>
      <c r="U679" s="33"/>
      <c r="V679" s="33"/>
      <c r="W679" s="2"/>
    </row>
    <row r="680" spans="13:23" ht="14.25" customHeight="1" x14ac:dyDescent="0.3">
      <c r="M680" s="1"/>
      <c r="N680" s="31"/>
      <c r="O680" s="31"/>
      <c r="P680" s="31"/>
      <c r="Q680" s="32"/>
      <c r="R680" s="32"/>
      <c r="S680" s="31"/>
      <c r="T680" s="31"/>
      <c r="U680" s="33"/>
      <c r="V680" s="33"/>
      <c r="W680" s="2"/>
    </row>
    <row r="681" spans="13:23" ht="14.25" customHeight="1" x14ac:dyDescent="0.3">
      <c r="M681" s="1"/>
      <c r="N681" s="31"/>
      <c r="O681" s="31"/>
      <c r="P681" s="31"/>
      <c r="Q681" s="32"/>
      <c r="R681" s="32"/>
      <c r="S681" s="31"/>
      <c r="T681" s="31"/>
      <c r="U681" s="33"/>
      <c r="V681" s="33"/>
      <c r="W681" s="2"/>
    </row>
    <row r="682" spans="13:23" ht="14.25" customHeight="1" x14ac:dyDescent="0.3">
      <c r="M682" s="1"/>
      <c r="N682" s="31"/>
      <c r="O682" s="31"/>
      <c r="P682" s="31"/>
      <c r="Q682" s="32"/>
      <c r="R682" s="32"/>
      <c r="S682" s="31"/>
      <c r="T682" s="31"/>
      <c r="U682" s="33"/>
      <c r="V682" s="33"/>
      <c r="W682" s="2"/>
    </row>
    <row r="683" spans="13:23" ht="14.25" customHeight="1" x14ac:dyDescent="0.3">
      <c r="M683" s="1"/>
      <c r="N683" s="31"/>
      <c r="O683" s="31"/>
      <c r="P683" s="31"/>
      <c r="Q683" s="32"/>
      <c r="R683" s="32"/>
      <c r="S683" s="31"/>
      <c r="T683" s="31"/>
      <c r="U683" s="33"/>
      <c r="V683" s="33"/>
      <c r="W683" s="2"/>
    </row>
    <row r="684" spans="13:23" ht="14.25" customHeight="1" x14ac:dyDescent="0.3">
      <c r="M684" s="1"/>
      <c r="N684" s="31"/>
      <c r="O684" s="31"/>
      <c r="P684" s="31"/>
      <c r="Q684" s="32"/>
      <c r="R684" s="32"/>
      <c r="S684" s="31"/>
      <c r="T684" s="31"/>
      <c r="U684" s="33"/>
      <c r="V684" s="33"/>
      <c r="W684" s="2"/>
    </row>
    <row r="685" spans="13:23" ht="14.25" customHeight="1" x14ac:dyDescent="0.3">
      <c r="M685" s="1"/>
      <c r="N685" s="31"/>
      <c r="O685" s="31"/>
      <c r="P685" s="31"/>
      <c r="Q685" s="32"/>
      <c r="R685" s="32"/>
      <c r="S685" s="31"/>
      <c r="T685" s="31"/>
      <c r="U685" s="33"/>
      <c r="V685" s="33"/>
      <c r="W685" s="2"/>
    </row>
    <row r="686" spans="13:23" ht="14.25" customHeight="1" x14ac:dyDescent="0.3">
      <c r="M686" s="1"/>
      <c r="N686" s="31"/>
      <c r="O686" s="31"/>
      <c r="P686" s="31"/>
      <c r="Q686" s="32"/>
      <c r="R686" s="32"/>
      <c r="S686" s="31"/>
      <c r="T686" s="31"/>
      <c r="U686" s="33"/>
      <c r="V686" s="33"/>
      <c r="W686" s="2"/>
    </row>
    <row r="687" spans="13:23" ht="14.25" customHeight="1" x14ac:dyDescent="0.3">
      <c r="M687" s="1"/>
      <c r="N687" s="31"/>
      <c r="O687" s="31"/>
      <c r="P687" s="31"/>
      <c r="Q687" s="32"/>
      <c r="R687" s="32"/>
      <c r="S687" s="31"/>
      <c r="T687" s="31"/>
      <c r="U687" s="33"/>
      <c r="V687" s="33"/>
      <c r="W687" s="2"/>
    </row>
    <row r="688" spans="13:23" ht="14.25" customHeight="1" x14ac:dyDescent="0.3">
      <c r="M688" s="1"/>
      <c r="N688" s="31"/>
      <c r="O688" s="31"/>
      <c r="P688" s="31"/>
      <c r="Q688" s="32"/>
      <c r="R688" s="32"/>
      <c r="S688" s="31"/>
      <c r="T688" s="31"/>
      <c r="U688" s="33"/>
      <c r="V688" s="33"/>
      <c r="W688" s="2"/>
    </row>
    <row r="689" spans="13:23" ht="14.25" customHeight="1" x14ac:dyDescent="0.3">
      <c r="M689" s="1"/>
      <c r="N689" s="31"/>
      <c r="O689" s="31"/>
      <c r="P689" s="31"/>
      <c r="Q689" s="32"/>
      <c r="R689" s="32"/>
      <c r="S689" s="31"/>
      <c r="T689" s="31"/>
      <c r="U689" s="33"/>
      <c r="V689" s="33"/>
      <c r="W689" s="2"/>
    </row>
    <row r="690" spans="13:23" ht="14.25" customHeight="1" x14ac:dyDescent="0.3">
      <c r="M690" s="1"/>
      <c r="N690" s="31"/>
      <c r="O690" s="31"/>
      <c r="P690" s="31"/>
      <c r="Q690" s="32"/>
      <c r="R690" s="32"/>
      <c r="S690" s="31"/>
      <c r="T690" s="31"/>
      <c r="U690" s="33"/>
      <c r="V690" s="33"/>
      <c r="W690" s="2"/>
    </row>
    <row r="691" spans="13:23" ht="14.25" customHeight="1" x14ac:dyDescent="0.3">
      <c r="M691" s="1"/>
      <c r="N691" s="31"/>
      <c r="O691" s="31"/>
      <c r="P691" s="31"/>
      <c r="Q691" s="32"/>
      <c r="R691" s="32"/>
      <c r="S691" s="31"/>
      <c r="T691" s="31"/>
      <c r="U691" s="33"/>
      <c r="V691" s="33"/>
      <c r="W691" s="2"/>
    </row>
    <row r="692" spans="13:23" ht="14.25" customHeight="1" x14ac:dyDescent="0.3">
      <c r="M692" s="1"/>
      <c r="N692" s="31"/>
      <c r="O692" s="31"/>
      <c r="P692" s="31"/>
      <c r="Q692" s="32"/>
      <c r="R692" s="32"/>
      <c r="S692" s="31"/>
      <c r="T692" s="31"/>
      <c r="U692" s="33"/>
      <c r="V692" s="33"/>
      <c r="W692" s="2"/>
    </row>
    <row r="693" spans="13:23" ht="14.25" customHeight="1" x14ac:dyDescent="0.3">
      <c r="M693" s="1"/>
      <c r="N693" s="31"/>
      <c r="O693" s="31"/>
      <c r="P693" s="31"/>
      <c r="Q693" s="32"/>
      <c r="R693" s="32"/>
      <c r="S693" s="31"/>
      <c r="T693" s="31"/>
      <c r="U693" s="33"/>
      <c r="V693" s="33"/>
      <c r="W693" s="2"/>
    </row>
    <row r="694" spans="13:23" ht="14.25" customHeight="1" x14ac:dyDescent="0.3">
      <c r="M694" s="1"/>
      <c r="N694" s="31"/>
      <c r="O694" s="31"/>
      <c r="P694" s="31"/>
      <c r="Q694" s="32"/>
      <c r="R694" s="32"/>
      <c r="S694" s="31"/>
      <c r="T694" s="31"/>
      <c r="U694" s="33"/>
      <c r="V694" s="33"/>
      <c r="W694" s="2"/>
    </row>
    <row r="695" spans="13:23" ht="14.25" customHeight="1" x14ac:dyDescent="0.3">
      <c r="M695" s="1"/>
      <c r="N695" s="31"/>
      <c r="O695" s="31"/>
      <c r="P695" s="31"/>
      <c r="Q695" s="32"/>
      <c r="R695" s="32"/>
      <c r="S695" s="31"/>
      <c r="T695" s="31"/>
      <c r="U695" s="33"/>
      <c r="V695" s="33"/>
      <c r="W695" s="2"/>
    </row>
    <row r="696" spans="13:23" ht="14.25" customHeight="1" x14ac:dyDescent="0.3">
      <c r="M696" s="1"/>
      <c r="N696" s="31"/>
      <c r="O696" s="31"/>
      <c r="P696" s="31"/>
      <c r="Q696" s="32"/>
      <c r="R696" s="32"/>
      <c r="S696" s="31"/>
      <c r="T696" s="31"/>
      <c r="U696" s="33"/>
      <c r="V696" s="33"/>
      <c r="W696" s="2"/>
    </row>
    <row r="697" spans="13:23" ht="14.25" customHeight="1" x14ac:dyDescent="0.3">
      <c r="M697" s="1"/>
      <c r="N697" s="31"/>
      <c r="O697" s="31"/>
      <c r="P697" s="31"/>
      <c r="Q697" s="32"/>
      <c r="R697" s="32"/>
      <c r="S697" s="31"/>
      <c r="T697" s="31"/>
      <c r="U697" s="33"/>
      <c r="V697" s="33"/>
      <c r="W697" s="2"/>
    </row>
    <row r="698" spans="13:23" ht="14.25" customHeight="1" x14ac:dyDescent="0.3">
      <c r="M698" s="1"/>
      <c r="N698" s="31"/>
      <c r="O698" s="31"/>
      <c r="P698" s="31"/>
      <c r="Q698" s="32"/>
      <c r="R698" s="32"/>
      <c r="S698" s="31"/>
      <c r="T698" s="31"/>
      <c r="U698" s="33"/>
      <c r="V698" s="33"/>
      <c r="W698" s="2"/>
    </row>
    <row r="699" spans="13:23" ht="14.25" customHeight="1" x14ac:dyDescent="0.3">
      <c r="M699" s="1"/>
      <c r="N699" s="31"/>
      <c r="O699" s="31"/>
      <c r="P699" s="31"/>
      <c r="Q699" s="32"/>
      <c r="R699" s="32"/>
      <c r="S699" s="31"/>
      <c r="T699" s="31"/>
      <c r="U699" s="33"/>
      <c r="V699" s="33"/>
      <c r="W699" s="2"/>
    </row>
    <row r="700" spans="13:23" ht="14.25" customHeight="1" x14ac:dyDescent="0.3">
      <c r="M700" s="1"/>
      <c r="N700" s="31"/>
      <c r="O700" s="31"/>
      <c r="P700" s="31"/>
      <c r="Q700" s="32"/>
      <c r="R700" s="32"/>
      <c r="S700" s="31"/>
      <c r="T700" s="31"/>
      <c r="U700" s="33"/>
      <c r="V700" s="33"/>
      <c r="W700" s="2"/>
    </row>
    <row r="701" spans="13:23" ht="14.25" customHeight="1" x14ac:dyDescent="0.3">
      <c r="M701" s="1"/>
      <c r="N701" s="31"/>
      <c r="O701" s="31"/>
      <c r="P701" s="31"/>
      <c r="Q701" s="32"/>
      <c r="R701" s="32"/>
      <c r="S701" s="31"/>
      <c r="T701" s="31"/>
      <c r="U701" s="33"/>
      <c r="V701" s="33"/>
      <c r="W701" s="2"/>
    </row>
    <row r="702" spans="13:23" ht="14.25" customHeight="1" x14ac:dyDescent="0.3">
      <c r="M702" s="1"/>
      <c r="N702" s="31"/>
      <c r="O702" s="31"/>
      <c r="P702" s="31"/>
      <c r="Q702" s="32"/>
      <c r="R702" s="32"/>
      <c r="S702" s="31"/>
      <c r="T702" s="31"/>
      <c r="U702" s="33"/>
      <c r="V702" s="33"/>
      <c r="W702" s="2"/>
    </row>
    <row r="703" spans="13:23" ht="14.25" customHeight="1" x14ac:dyDescent="0.3">
      <c r="M703" s="1"/>
      <c r="N703" s="31"/>
      <c r="O703" s="31"/>
      <c r="P703" s="31"/>
      <c r="Q703" s="32"/>
      <c r="R703" s="32"/>
      <c r="S703" s="31"/>
      <c r="T703" s="31"/>
      <c r="U703" s="33"/>
      <c r="V703" s="33"/>
      <c r="W703" s="2"/>
    </row>
    <row r="704" spans="13:23" ht="14.25" customHeight="1" x14ac:dyDescent="0.3">
      <c r="M704" s="1"/>
      <c r="N704" s="31"/>
      <c r="O704" s="31"/>
      <c r="P704" s="31"/>
      <c r="Q704" s="32"/>
      <c r="R704" s="32"/>
      <c r="S704" s="31"/>
      <c r="T704" s="31"/>
      <c r="U704" s="33"/>
      <c r="V704" s="33"/>
      <c r="W704" s="2"/>
    </row>
    <row r="705" spans="13:23" ht="14.25" customHeight="1" x14ac:dyDescent="0.3">
      <c r="M705" s="1"/>
      <c r="N705" s="31"/>
      <c r="O705" s="31"/>
      <c r="P705" s="31"/>
      <c r="Q705" s="32"/>
      <c r="R705" s="32"/>
      <c r="S705" s="31"/>
      <c r="T705" s="31"/>
      <c r="U705" s="33"/>
      <c r="V705" s="33"/>
      <c r="W705" s="2"/>
    </row>
    <row r="706" spans="13:23" ht="14.25" customHeight="1" x14ac:dyDescent="0.3">
      <c r="M706" s="1"/>
      <c r="N706" s="31"/>
      <c r="O706" s="31"/>
      <c r="P706" s="31"/>
      <c r="Q706" s="32"/>
      <c r="R706" s="32"/>
      <c r="S706" s="31"/>
      <c r="T706" s="31"/>
      <c r="U706" s="33"/>
      <c r="V706" s="33"/>
      <c r="W706" s="2"/>
    </row>
    <row r="707" spans="13:23" ht="14.25" customHeight="1" x14ac:dyDescent="0.3">
      <c r="M707" s="1"/>
      <c r="N707" s="31"/>
      <c r="O707" s="31"/>
      <c r="P707" s="31"/>
      <c r="Q707" s="32"/>
      <c r="R707" s="32"/>
      <c r="S707" s="31"/>
      <c r="T707" s="31"/>
      <c r="U707" s="33"/>
      <c r="V707" s="33"/>
      <c r="W707" s="2"/>
    </row>
    <row r="708" spans="13:23" ht="14.25" customHeight="1" x14ac:dyDescent="0.3">
      <c r="M708" s="1"/>
      <c r="N708" s="31"/>
      <c r="O708" s="31"/>
      <c r="P708" s="31"/>
      <c r="Q708" s="32"/>
      <c r="R708" s="32"/>
      <c r="S708" s="31"/>
      <c r="T708" s="31"/>
      <c r="U708" s="33"/>
      <c r="V708" s="33"/>
      <c r="W708" s="2"/>
    </row>
    <row r="709" spans="13:23" ht="14.25" customHeight="1" x14ac:dyDescent="0.3">
      <c r="M709" s="1"/>
      <c r="N709" s="31"/>
      <c r="O709" s="31"/>
      <c r="P709" s="31"/>
      <c r="Q709" s="32"/>
      <c r="R709" s="32"/>
      <c r="S709" s="31"/>
      <c r="T709" s="31"/>
      <c r="U709" s="33"/>
      <c r="V709" s="33"/>
      <c r="W709" s="2"/>
    </row>
    <row r="710" spans="13:23" ht="14.25" customHeight="1" x14ac:dyDescent="0.3">
      <c r="M710" s="1"/>
      <c r="N710" s="31"/>
      <c r="O710" s="31"/>
      <c r="P710" s="31"/>
      <c r="Q710" s="32"/>
      <c r="R710" s="32"/>
      <c r="S710" s="31"/>
      <c r="T710" s="31"/>
      <c r="U710" s="33"/>
      <c r="V710" s="33"/>
      <c r="W710" s="2"/>
    </row>
    <row r="711" spans="13:23" ht="14.25" customHeight="1" x14ac:dyDescent="0.3">
      <c r="M711" s="1"/>
      <c r="N711" s="31"/>
      <c r="O711" s="31"/>
      <c r="P711" s="31"/>
      <c r="Q711" s="32"/>
      <c r="R711" s="32"/>
      <c r="S711" s="31"/>
      <c r="T711" s="31"/>
      <c r="U711" s="33"/>
      <c r="V711" s="33"/>
      <c r="W711" s="2"/>
    </row>
    <row r="712" spans="13:23" ht="14.25" customHeight="1" x14ac:dyDescent="0.3">
      <c r="M712" s="1"/>
      <c r="N712" s="31"/>
      <c r="O712" s="31"/>
      <c r="P712" s="31"/>
      <c r="Q712" s="32"/>
      <c r="R712" s="32"/>
      <c r="S712" s="31"/>
      <c r="T712" s="31"/>
      <c r="U712" s="33"/>
      <c r="V712" s="33"/>
      <c r="W712" s="2"/>
    </row>
    <row r="713" spans="13:23" ht="14.25" customHeight="1" x14ac:dyDescent="0.3">
      <c r="M713" s="1"/>
      <c r="N713" s="31"/>
      <c r="O713" s="31"/>
      <c r="P713" s="31"/>
      <c r="Q713" s="32"/>
      <c r="R713" s="32"/>
      <c r="S713" s="31"/>
      <c r="T713" s="31"/>
      <c r="U713" s="33"/>
      <c r="V713" s="33"/>
      <c r="W713" s="2"/>
    </row>
    <row r="714" spans="13:23" ht="14.25" customHeight="1" x14ac:dyDescent="0.3">
      <c r="M714" s="1"/>
      <c r="N714" s="31"/>
      <c r="O714" s="31"/>
      <c r="P714" s="31"/>
      <c r="Q714" s="32"/>
      <c r="R714" s="32"/>
      <c r="S714" s="31"/>
      <c r="T714" s="31"/>
      <c r="U714" s="33"/>
      <c r="V714" s="33"/>
      <c r="W714" s="2"/>
    </row>
    <row r="715" spans="13:23" ht="14.25" customHeight="1" x14ac:dyDescent="0.3">
      <c r="M715" s="1"/>
      <c r="N715" s="31"/>
      <c r="O715" s="31"/>
      <c r="P715" s="31"/>
      <c r="Q715" s="32"/>
      <c r="R715" s="32"/>
      <c r="S715" s="31"/>
      <c r="T715" s="31"/>
      <c r="U715" s="33"/>
      <c r="V715" s="33"/>
      <c r="W715" s="2"/>
    </row>
    <row r="716" spans="13:23" ht="14.25" customHeight="1" x14ac:dyDescent="0.3">
      <c r="M716" s="1"/>
      <c r="N716" s="31"/>
      <c r="O716" s="31"/>
      <c r="P716" s="31"/>
      <c r="Q716" s="32"/>
      <c r="R716" s="32"/>
      <c r="S716" s="31"/>
      <c r="T716" s="31"/>
      <c r="U716" s="33"/>
      <c r="V716" s="33"/>
      <c r="W716" s="2"/>
    </row>
    <row r="717" spans="13:23" ht="14.25" customHeight="1" x14ac:dyDescent="0.3">
      <c r="M717" s="1"/>
      <c r="N717" s="31"/>
      <c r="O717" s="31"/>
      <c r="P717" s="31"/>
      <c r="Q717" s="32"/>
      <c r="R717" s="32"/>
      <c r="S717" s="31"/>
      <c r="T717" s="31"/>
      <c r="U717" s="33"/>
      <c r="V717" s="33"/>
      <c r="W717" s="2"/>
    </row>
    <row r="718" spans="13:23" ht="14.25" customHeight="1" x14ac:dyDescent="0.3">
      <c r="M718" s="1"/>
      <c r="N718" s="31"/>
      <c r="O718" s="31"/>
      <c r="P718" s="31"/>
      <c r="Q718" s="32"/>
      <c r="R718" s="32"/>
      <c r="S718" s="31"/>
      <c r="T718" s="31"/>
      <c r="U718" s="33"/>
      <c r="V718" s="33"/>
      <c r="W718" s="2"/>
    </row>
    <row r="719" spans="13:23" ht="14.25" customHeight="1" x14ac:dyDescent="0.3">
      <c r="M719" s="1"/>
      <c r="N719" s="31"/>
      <c r="O719" s="31"/>
      <c r="P719" s="31"/>
      <c r="Q719" s="32"/>
      <c r="R719" s="32"/>
      <c r="S719" s="31"/>
      <c r="T719" s="31"/>
      <c r="U719" s="33"/>
      <c r="V719" s="33"/>
      <c r="W719" s="2"/>
    </row>
    <row r="720" spans="13:23" ht="14.25" customHeight="1" x14ac:dyDescent="0.3">
      <c r="M720" s="1"/>
      <c r="N720" s="31"/>
      <c r="O720" s="31"/>
      <c r="P720" s="31"/>
      <c r="Q720" s="32"/>
      <c r="R720" s="32"/>
      <c r="S720" s="31"/>
      <c r="T720" s="31"/>
      <c r="U720" s="33"/>
      <c r="V720" s="33"/>
      <c r="W720" s="2"/>
    </row>
    <row r="721" spans="13:23" ht="14.25" customHeight="1" x14ac:dyDescent="0.3">
      <c r="M721" s="1"/>
      <c r="N721" s="31"/>
      <c r="O721" s="31"/>
      <c r="P721" s="31"/>
      <c r="Q721" s="32"/>
      <c r="R721" s="32"/>
      <c r="S721" s="31"/>
      <c r="T721" s="31"/>
      <c r="U721" s="33"/>
      <c r="V721" s="33"/>
      <c r="W721" s="2"/>
    </row>
    <row r="722" spans="13:23" ht="14.25" customHeight="1" x14ac:dyDescent="0.3">
      <c r="M722" s="1"/>
      <c r="N722" s="31"/>
      <c r="O722" s="31"/>
      <c r="P722" s="31"/>
      <c r="Q722" s="32"/>
      <c r="R722" s="32"/>
      <c r="S722" s="31"/>
      <c r="T722" s="31"/>
      <c r="U722" s="33"/>
      <c r="V722" s="33"/>
      <c r="W722" s="2"/>
    </row>
    <row r="723" spans="13:23" ht="14.25" customHeight="1" x14ac:dyDescent="0.3">
      <c r="M723" s="1"/>
      <c r="N723" s="31"/>
      <c r="O723" s="31"/>
      <c r="P723" s="31"/>
      <c r="Q723" s="32"/>
      <c r="R723" s="32"/>
      <c r="S723" s="31"/>
      <c r="T723" s="31"/>
      <c r="U723" s="33"/>
      <c r="V723" s="33"/>
      <c r="W723" s="2"/>
    </row>
    <row r="724" spans="13:23" ht="14.25" customHeight="1" x14ac:dyDescent="0.3">
      <c r="M724" s="1"/>
      <c r="N724" s="31"/>
      <c r="O724" s="31"/>
      <c r="P724" s="31"/>
      <c r="Q724" s="32"/>
      <c r="R724" s="32"/>
      <c r="S724" s="31"/>
      <c r="T724" s="31"/>
      <c r="U724" s="33"/>
      <c r="V724" s="33"/>
      <c r="W724" s="2"/>
    </row>
    <row r="725" spans="13:23" ht="14.25" customHeight="1" x14ac:dyDescent="0.3">
      <c r="M725" s="1"/>
      <c r="N725" s="31"/>
      <c r="O725" s="31"/>
      <c r="P725" s="31"/>
      <c r="Q725" s="32"/>
      <c r="R725" s="32"/>
      <c r="S725" s="31"/>
      <c r="T725" s="31"/>
      <c r="U725" s="33"/>
      <c r="V725" s="33"/>
      <c r="W725" s="2"/>
    </row>
    <row r="726" spans="13:23" ht="14.25" customHeight="1" x14ac:dyDescent="0.3">
      <c r="M726" s="1"/>
      <c r="N726" s="31"/>
      <c r="O726" s="31"/>
      <c r="P726" s="31"/>
      <c r="Q726" s="32"/>
      <c r="R726" s="32"/>
      <c r="S726" s="31"/>
      <c r="T726" s="31"/>
      <c r="U726" s="33"/>
      <c r="V726" s="33"/>
      <c r="W726" s="2"/>
    </row>
    <row r="727" spans="13:23" ht="14.25" customHeight="1" x14ac:dyDescent="0.3">
      <c r="M727" s="1"/>
      <c r="N727" s="31"/>
      <c r="O727" s="31"/>
      <c r="P727" s="31"/>
      <c r="Q727" s="32"/>
      <c r="R727" s="32"/>
      <c r="S727" s="31"/>
      <c r="T727" s="31"/>
      <c r="U727" s="33"/>
      <c r="V727" s="33"/>
      <c r="W727" s="2"/>
    </row>
    <row r="728" spans="13:23" ht="14.25" customHeight="1" x14ac:dyDescent="0.3">
      <c r="M728" s="1"/>
      <c r="N728" s="31"/>
      <c r="O728" s="31"/>
      <c r="P728" s="31"/>
      <c r="Q728" s="32"/>
      <c r="R728" s="32"/>
      <c r="S728" s="31"/>
      <c r="T728" s="31"/>
      <c r="U728" s="33"/>
      <c r="V728" s="33"/>
      <c r="W728" s="2"/>
    </row>
    <row r="729" spans="13:23" ht="14.25" customHeight="1" x14ac:dyDescent="0.3">
      <c r="M729" s="1"/>
      <c r="N729" s="31"/>
      <c r="O729" s="31"/>
      <c r="P729" s="31"/>
      <c r="Q729" s="32"/>
      <c r="R729" s="32"/>
      <c r="S729" s="31"/>
      <c r="T729" s="31"/>
      <c r="U729" s="33"/>
      <c r="V729" s="33"/>
      <c r="W729" s="2"/>
    </row>
    <row r="730" spans="13:23" ht="14.25" customHeight="1" x14ac:dyDescent="0.3">
      <c r="M730" s="1"/>
      <c r="N730" s="31"/>
      <c r="O730" s="31"/>
      <c r="P730" s="31"/>
      <c r="Q730" s="32"/>
      <c r="R730" s="32"/>
      <c r="S730" s="31"/>
      <c r="T730" s="31"/>
      <c r="U730" s="33"/>
      <c r="V730" s="33"/>
      <c r="W730" s="2"/>
    </row>
    <row r="731" spans="13:23" ht="14.25" customHeight="1" x14ac:dyDescent="0.3">
      <c r="M731" s="1"/>
      <c r="N731" s="31"/>
      <c r="O731" s="31"/>
      <c r="P731" s="31"/>
      <c r="Q731" s="32"/>
      <c r="R731" s="32"/>
      <c r="S731" s="31"/>
      <c r="T731" s="31"/>
      <c r="U731" s="33"/>
      <c r="V731" s="33"/>
      <c r="W731" s="2"/>
    </row>
    <row r="732" spans="13:23" ht="14.25" customHeight="1" x14ac:dyDescent="0.3">
      <c r="M732" s="1"/>
      <c r="N732" s="31"/>
      <c r="O732" s="31"/>
      <c r="P732" s="31"/>
      <c r="Q732" s="32"/>
      <c r="R732" s="32"/>
      <c r="S732" s="31"/>
      <c r="T732" s="31"/>
      <c r="U732" s="33"/>
      <c r="V732" s="33"/>
      <c r="W732" s="2"/>
    </row>
    <row r="733" spans="13:23" ht="14.25" customHeight="1" x14ac:dyDescent="0.3">
      <c r="M733" s="1"/>
      <c r="N733" s="31"/>
      <c r="O733" s="31"/>
      <c r="P733" s="31"/>
      <c r="Q733" s="32"/>
      <c r="R733" s="32"/>
      <c r="S733" s="31"/>
      <c r="T733" s="31"/>
      <c r="U733" s="33"/>
      <c r="V733" s="33"/>
      <c r="W733" s="2"/>
    </row>
    <row r="734" spans="13:23" ht="14.25" customHeight="1" x14ac:dyDescent="0.3">
      <c r="M734" s="1"/>
      <c r="N734" s="31"/>
      <c r="O734" s="31"/>
      <c r="P734" s="31"/>
      <c r="Q734" s="32"/>
      <c r="R734" s="32"/>
      <c r="S734" s="31"/>
      <c r="T734" s="31"/>
      <c r="U734" s="33"/>
      <c r="V734" s="33"/>
      <c r="W734" s="2"/>
    </row>
    <row r="735" spans="13:23" ht="14.25" customHeight="1" x14ac:dyDescent="0.3">
      <c r="M735" s="1"/>
      <c r="N735" s="31"/>
      <c r="O735" s="31"/>
      <c r="P735" s="31"/>
      <c r="Q735" s="32"/>
      <c r="R735" s="32"/>
      <c r="S735" s="31"/>
      <c r="T735" s="31"/>
      <c r="U735" s="33"/>
      <c r="V735" s="33"/>
      <c r="W735" s="2"/>
    </row>
    <row r="736" spans="13:23" ht="14.25" customHeight="1" x14ac:dyDescent="0.3">
      <c r="M736" s="1"/>
      <c r="N736" s="31"/>
      <c r="O736" s="31"/>
      <c r="P736" s="31"/>
      <c r="Q736" s="32"/>
      <c r="R736" s="32"/>
      <c r="S736" s="31"/>
      <c r="T736" s="31"/>
      <c r="U736" s="33"/>
      <c r="V736" s="33"/>
      <c r="W736" s="2"/>
    </row>
    <row r="737" spans="13:23" ht="14.25" customHeight="1" x14ac:dyDescent="0.3">
      <c r="M737" s="1"/>
      <c r="N737" s="31"/>
      <c r="O737" s="31"/>
      <c r="P737" s="31"/>
      <c r="Q737" s="32"/>
      <c r="R737" s="32"/>
      <c r="S737" s="31"/>
      <c r="T737" s="31"/>
      <c r="U737" s="33"/>
      <c r="V737" s="33"/>
      <c r="W737" s="2"/>
    </row>
    <row r="738" spans="13:23" ht="14.25" customHeight="1" x14ac:dyDescent="0.3">
      <c r="M738" s="1"/>
      <c r="N738" s="31"/>
      <c r="O738" s="31"/>
      <c r="P738" s="31"/>
      <c r="Q738" s="32"/>
      <c r="R738" s="32"/>
      <c r="S738" s="31"/>
      <c r="T738" s="31"/>
      <c r="U738" s="33"/>
      <c r="V738" s="33"/>
      <c r="W738" s="2"/>
    </row>
    <row r="739" spans="13:23" ht="14.25" customHeight="1" x14ac:dyDescent="0.3">
      <c r="M739" s="1"/>
      <c r="N739" s="31"/>
      <c r="O739" s="31"/>
      <c r="P739" s="31"/>
      <c r="Q739" s="32"/>
      <c r="R739" s="32"/>
      <c r="S739" s="31"/>
      <c r="T739" s="31"/>
      <c r="U739" s="33"/>
      <c r="V739" s="33"/>
      <c r="W739" s="2"/>
    </row>
    <row r="740" spans="13:23" ht="14.25" customHeight="1" x14ac:dyDescent="0.3">
      <c r="M740" s="1"/>
      <c r="N740" s="31"/>
      <c r="O740" s="31"/>
      <c r="P740" s="31"/>
      <c r="Q740" s="32"/>
      <c r="R740" s="32"/>
      <c r="S740" s="31"/>
      <c r="T740" s="31"/>
      <c r="U740" s="33"/>
      <c r="V740" s="33"/>
      <c r="W740" s="2"/>
    </row>
    <row r="741" spans="13:23" ht="14.25" customHeight="1" x14ac:dyDescent="0.3">
      <c r="M741" s="1"/>
      <c r="N741" s="31"/>
      <c r="O741" s="31"/>
      <c r="P741" s="31"/>
      <c r="Q741" s="32"/>
      <c r="R741" s="32"/>
      <c r="S741" s="31"/>
      <c r="T741" s="31"/>
      <c r="U741" s="33"/>
      <c r="V741" s="33"/>
      <c r="W741" s="2"/>
    </row>
    <row r="742" spans="13:23" ht="14.25" customHeight="1" x14ac:dyDescent="0.3">
      <c r="M742" s="1"/>
      <c r="N742" s="31"/>
      <c r="O742" s="31"/>
      <c r="P742" s="31"/>
      <c r="Q742" s="32"/>
      <c r="R742" s="32"/>
      <c r="S742" s="31"/>
      <c r="T742" s="31"/>
      <c r="U742" s="33"/>
      <c r="V742" s="33"/>
      <c r="W742" s="2"/>
    </row>
    <row r="743" spans="13:23" ht="14.25" customHeight="1" x14ac:dyDescent="0.3">
      <c r="M743" s="1"/>
      <c r="N743" s="31"/>
      <c r="O743" s="31"/>
      <c r="P743" s="31"/>
      <c r="Q743" s="32"/>
      <c r="R743" s="32"/>
      <c r="S743" s="31"/>
      <c r="T743" s="31"/>
      <c r="U743" s="33"/>
      <c r="V743" s="33"/>
      <c r="W743" s="2"/>
    </row>
    <row r="744" spans="13:23" ht="14.25" customHeight="1" x14ac:dyDescent="0.3">
      <c r="M744" s="1"/>
      <c r="N744" s="31"/>
      <c r="O744" s="31"/>
      <c r="P744" s="31"/>
      <c r="Q744" s="32"/>
      <c r="R744" s="32"/>
      <c r="S744" s="31"/>
      <c r="T744" s="31"/>
      <c r="U744" s="33"/>
      <c r="V744" s="33"/>
      <c r="W744" s="2"/>
    </row>
    <row r="745" spans="13:23" ht="14.25" customHeight="1" x14ac:dyDescent="0.3">
      <c r="M745" s="1"/>
      <c r="N745" s="31"/>
      <c r="O745" s="31"/>
      <c r="P745" s="31"/>
      <c r="Q745" s="32"/>
      <c r="R745" s="32"/>
      <c r="S745" s="31"/>
      <c r="T745" s="31"/>
      <c r="U745" s="33"/>
      <c r="V745" s="33"/>
      <c r="W745" s="2"/>
    </row>
    <row r="746" spans="13:23" ht="14.25" customHeight="1" x14ac:dyDescent="0.3">
      <c r="M746" s="1"/>
      <c r="N746" s="31"/>
      <c r="O746" s="31"/>
      <c r="P746" s="31"/>
      <c r="Q746" s="32"/>
      <c r="R746" s="32"/>
      <c r="S746" s="31"/>
      <c r="T746" s="31"/>
      <c r="U746" s="33"/>
      <c r="V746" s="33"/>
      <c r="W746" s="2"/>
    </row>
    <row r="747" spans="13:23" ht="14.25" customHeight="1" x14ac:dyDescent="0.3">
      <c r="M747" s="1"/>
      <c r="N747" s="31"/>
      <c r="O747" s="31"/>
      <c r="P747" s="31"/>
      <c r="Q747" s="32"/>
      <c r="R747" s="32"/>
      <c r="S747" s="31"/>
      <c r="T747" s="31"/>
      <c r="U747" s="33"/>
      <c r="V747" s="33"/>
      <c r="W747" s="2"/>
    </row>
    <row r="748" spans="13:23" ht="14.25" customHeight="1" x14ac:dyDescent="0.3">
      <c r="M748" s="1"/>
      <c r="N748" s="31"/>
      <c r="O748" s="31"/>
      <c r="P748" s="31"/>
      <c r="Q748" s="32"/>
      <c r="R748" s="32"/>
      <c r="S748" s="31"/>
      <c r="T748" s="31"/>
      <c r="U748" s="33"/>
      <c r="V748" s="33"/>
      <c r="W748" s="2"/>
    </row>
    <row r="749" spans="13:23" ht="14.25" customHeight="1" x14ac:dyDescent="0.3">
      <c r="M749" s="1"/>
      <c r="N749" s="31"/>
      <c r="O749" s="31"/>
      <c r="P749" s="31"/>
      <c r="Q749" s="32"/>
      <c r="R749" s="32"/>
      <c r="S749" s="31"/>
      <c r="T749" s="31"/>
      <c r="U749" s="33"/>
      <c r="V749" s="33"/>
      <c r="W749" s="2"/>
    </row>
    <row r="750" spans="13:23" ht="14.25" customHeight="1" x14ac:dyDescent="0.3">
      <c r="M750" s="1"/>
      <c r="N750" s="31"/>
      <c r="O750" s="31"/>
      <c r="P750" s="31"/>
      <c r="Q750" s="32"/>
      <c r="R750" s="32"/>
      <c r="S750" s="31"/>
      <c r="T750" s="31"/>
      <c r="U750" s="33"/>
      <c r="V750" s="33"/>
      <c r="W750" s="2"/>
    </row>
    <row r="751" spans="13:23" ht="14.25" customHeight="1" x14ac:dyDescent="0.3">
      <c r="M751" s="1"/>
      <c r="N751" s="31"/>
      <c r="O751" s="31"/>
      <c r="P751" s="31"/>
      <c r="Q751" s="32"/>
      <c r="R751" s="32"/>
      <c r="S751" s="31"/>
      <c r="T751" s="31"/>
      <c r="U751" s="33"/>
      <c r="V751" s="33"/>
      <c r="W751" s="2"/>
    </row>
    <row r="752" spans="13:23" ht="14.25" customHeight="1" x14ac:dyDescent="0.3">
      <c r="M752" s="1"/>
      <c r="N752" s="31"/>
      <c r="O752" s="31"/>
      <c r="P752" s="31"/>
      <c r="Q752" s="32"/>
      <c r="R752" s="32"/>
      <c r="S752" s="31"/>
      <c r="T752" s="31"/>
      <c r="U752" s="33"/>
      <c r="V752" s="33"/>
      <c r="W752" s="2"/>
    </row>
    <row r="753" spans="13:23" ht="14.25" customHeight="1" x14ac:dyDescent="0.3">
      <c r="M753" s="1"/>
      <c r="N753" s="31"/>
      <c r="O753" s="31"/>
      <c r="P753" s="31"/>
      <c r="Q753" s="32"/>
      <c r="R753" s="32"/>
      <c r="S753" s="31"/>
      <c r="T753" s="31"/>
      <c r="U753" s="33"/>
      <c r="V753" s="33"/>
      <c r="W753" s="2"/>
    </row>
    <row r="754" spans="13:23" ht="14.25" customHeight="1" x14ac:dyDescent="0.3">
      <c r="M754" s="1"/>
      <c r="N754" s="31"/>
      <c r="O754" s="31"/>
      <c r="P754" s="31"/>
      <c r="Q754" s="32"/>
      <c r="R754" s="32"/>
      <c r="S754" s="31"/>
      <c r="T754" s="31"/>
      <c r="U754" s="33"/>
      <c r="V754" s="33"/>
      <c r="W754" s="2"/>
    </row>
    <row r="755" spans="13:23" ht="14.25" customHeight="1" x14ac:dyDescent="0.3">
      <c r="M755" s="1"/>
      <c r="N755" s="31"/>
      <c r="O755" s="31"/>
      <c r="P755" s="31"/>
      <c r="Q755" s="32"/>
      <c r="R755" s="32"/>
      <c r="S755" s="31"/>
      <c r="T755" s="31"/>
      <c r="U755" s="33"/>
      <c r="V755" s="33"/>
      <c r="W755" s="2"/>
    </row>
    <row r="756" spans="13:23" ht="14.25" customHeight="1" x14ac:dyDescent="0.3">
      <c r="M756" s="1"/>
      <c r="N756" s="31"/>
      <c r="O756" s="31"/>
      <c r="P756" s="31"/>
      <c r="Q756" s="32"/>
      <c r="R756" s="32"/>
      <c r="S756" s="31"/>
      <c r="T756" s="31"/>
      <c r="U756" s="33"/>
      <c r="V756" s="33"/>
      <c r="W756" s="2"/>
    </row>
    <row r="757" spans="13:23" ht="14.25" customHeight="1" x14ac:dyDescent="0.3">
      <c r="M757" s="1"/>
      <c r="N757" s="31"/>
      <c r="O757" s="31"/>
      <c r="P757" s="31"/>
      <c r="Q757" s="32"/>
      <c r="R757" s="32"/>
      <c r="S757" s="31"/>
      <c r="T757" s="31"/>
      <c r="U757" s="33"/>
      <c r="V757" s="33"/>
      <c r="W757" s="2"/>
    </row>
    <row r="758" spans="13:23" ht="14.25" customHeight="1" x14ac:dyDescent="0.3">
      <c r="M758" s="1"/>
      <c r="N758" s="31"/>
      <c r="O758" s="31"/>
      <c r="P758" s="31"/>
      <c r="Q758" s="32"/>
      <c r="R758" s="32"/>
      <c r="S758" s="31"/>
      <c r="T758" s="31"/>
      <c r="U758" s="33"/>
      <c r="V758" s="33"/>
      <c r="W758" s="2"/>
    </row>
    <row r="759" spans="13:23" ht="14.25" customHeight="1" x14ac:dyDescent="0.3">
      <c r="M759" s="1"/>
      <c r="N759" s="31"/>
      <c r="O759" s="31"/>
      <c r="P759" s="31"/>
      <c r="Q759" s="32"/>
      <c r="R759" s="32"/>
      <c r="S759" s="31"/>
      <c r="T759" s="31"/>
      <c r="U759" s="33"/>
      <c r="V759" s="33"/>
      <c r="W759" s="2"/>
    </row>
    <row r="760" spans="13:23" ht="14.25" customHeight="1" x14ac:dyDescent="0.3">
      <c r="M760" s="1"/>
      <c r="N760" s="31"/>
      <c r="O760" s="31"/>
      <c r="P760" s="31"/>
      <c r="Q760" s="32"/>
      <c r="R760" s="32"/>
      <c r="S760" s="31"/>
      <c r="T760" s="31"/>
      <c r="U760" s="33"/>
      <c r="V760" s="33"/>
      <c r="W760" s="2"/>
    </row>
    <row r="761" spans="13:23" ht="14.25" customHeight="1" x14ac:dyDescent="0.3">
      <c r="M761" s="1"/>
      <c r="N761" s="31"/>
      <c r="O761" s="31"/>
      <c r="P761" s="31"/>
      <c r="Q761" s="32"/>
      <c r="R761" s="32"/>
      <c r="S761" s="31"/>
      <c r="T761" s="31"/>
      <c r="U761" s="33"/>
      <c r="V761" s="33"/>
      <c r="W761" s="2"/>
    </row>
    <row r="762" spans="13:23" ht="14.25" customHeight="1" x14ac:dyDescent="0.3">
      <c r="M762" s="1"/>
      <c r="N762" s="31"/>
      <c r="O762" s="31"/>
      <c r="P762" s="31"/>
      <c r="Q762" s="32"/>
      <c r="R762" s="32"/>
      <c r="S762" s="31"/>
      <c r="T762" s="31"/>
      <c r="U762" s="33"/>
      <c r="V762" s="33"/>
      <c r="W762" s="2"/>
    </row>
    <row r="763" spans="13:23" ht="14.25" customHeight="1" x14ac:dyDescent="0.3">
      <c r="M763" s="1"/>
      <c r="N763" s="31"/>
      <c r="O763" s="31"/>
      <c r="P763" s="31"/>
      <c r="Q763" s="32"/>
      <c r="R763" s="32"/>
      <c r="S763" s="31"/>
      <c r="T763" s="31"/>
      <c r="U763" s="33"/>
      <c r="V763" s="33"/>
      <c r="W763" s="2"/>
    </row>
    <row r="764" spans="13:23" ht="14.25" customHeight="1" x14ac:dyDescent="0.3">
      <c r="M764" s="1"/>
      <c r="N764" s="31"/>
      <c r="O764" s="31"/>
      <c r="P764" s="31"/>
      <c r="Q764" s="32"/>
      <c r="R764" s="32"/>
      <c r="S764" s="31"/>
      <c r="T764" s="31"/>
      <c r="U764" s="33"/>
      <c r="V764" s="33"/>
      <c r="W764" s="2"/>
    </row>
    <row r="765" spans="13:23" ht="14.25" customHeight="1" x14ac:dyDescent="0.3">
      <c r="M765" s="1"/>
      <c r="N765" s="31"/>
      <c r="O765" s="31"/>
      <c r="P765" s="31"/>
      <c r="Q765" s="32"/>
      <c r="R765" s="32"/>
      <c r="S765" s="31"/>
      <c r="T765" s="31"/>
      <c r="U765" s="33"/>
      <c r="V765" s="33"/>
      <c r="W765" s="2"/>
    </row>
    <row r="766" spans="13:23" ht="14.25" customHeight="1" x14ac:dyDescent="0.3">
      <c r="M766" s="1"/>
      <c r="N766" s="31"/>
      <c r="O766" s="31"/>
      <c r="P766" s="31"/>
      <c r="Q766" s="32"/>
      <c r="R766" s="32"/>
      <c r="S766" s="31"/>
      <c r="T766" s="31"/>
      <c r="U766" s="33"/>
      <c r="V766" s="33"/>
      <c r="W766" s="2"/>
    </row>
    <row r="767" spans="13:23" ht="14.25" customHeight="1" x14ac:dyDescent="0.3">
      <c r="M767" s="1"/>
      <c r="N767" s="31"/>
      <c r="O767" s="31"/>
      <c r="P767" s="31"/>
      <c r="Q767" s="32"/>
      <c r="R767" s="32"/>
      <c r="S767" s="31"/>
      <c r="T767" s="31"/>
      <c r="U767" s="33"/>
      <c r="V767" s="33"/>
      <c r="W767" s="2"/>
    </row>
    <row r="768" spans="13:23" ht="14.25" customHeight="1" x14ac:dyDescent="0.3">
      <c r="M768" s="1"/>
      <c r="N768" s="31"/>
      <c r="O768" s="31"/>
      <c r="P768" s="31"/>
      <c r="Q768" s="32"/>
      <c r="R768" s="32"/>
      <c r="S768" s="31"/>
      <c r="T768" s="31"/>
      <c r="U768" s="33"/>
      <c r="V768" s="33"/>
      <c r="W768" s="2"/>
    </row>
    <row r="769" spans="13:23" ht="14.25" customHeight="1" x14ac:dyDescent="0.3">
      <c r="M769" s="1"/>
      <c r="N769" s="31"/>
      <c r="O769" s="31"/>
      <c r="P769" s="31"/>
      <c r="Q769" s="32"/>
      <c r="R769" s="32"/>
      <c r="S769" s="31"/>
      <c r="T769" s="31"/>
      <c r="U769" s="33"/>
      <c r="V769" s="33"/>
      <c r="W769" s="2"/>
    </row>
    <row r="770" spans="13:23" ht="14.25" customHeight="1" x14ac:dyDescent="0.3">
      <c r="M770" s="1"/>
      <c r="N770" s="31"/>
      <c r="O770" s="31"/>
      <c r="P770" s="31"/>
      <c r="Q770" s="32"/>
      <c r="R770" s="32"/>
      <c r="S770" s="31"/>
      <c r="T770" s="31"/>
      <c r="U770" s="33"/>
      <c r="V770" s="33"/>
      <c r="W770" s="2"/>
    </row>
    <row r="771" spans="13:23" ht="14.25" customHeight="1" x14ac:dyDescent="0.3">
      <c r="M771" s="1"/>
      <c r="N771" s="31"/>
      <c r="O771" s="31"/>
      <c r="P771" s="31"/>
      <c r="Q771" s="32"/>
      <c r="R771" s="32"/>
      <c r="S771" s="31"/>
      <c r="T771" s="31"/>
      <c r="U771" s="33"/>
      <c r="V771" s="33"/>
      <c r="W771" s="2"/>
    </row>
    <row r="772" spans="13:23" ht="14.25" customHeight="1" x14ac:dyDescent="0.3">
      <c r="M772" s="1"/>
      <c r="N772" s="31"/>
      <c r="O772" s="31"/>
      <c r="P772" s="31"/>
      <c r="Q772" s="32"/>
      <c r="R772" s="32"/>
      <c r="S772" s="31"/>
      <c r="T772" s="31"/>
      <c r="U772" s="33"/>
      <c r="V772" s="33"/>
      <c r="W772" s="2"/>
    </row>
    <row r="773" spans="13:23" ht="14.25" customHeight="1" x14ac:dyDescent="0.3">
      <c r="M773" s="1"/>
      <c r="N773" s="31"/>
      <c r="O773" s="31"/>
      <c r="P773" s="31"/>
      <c r="Q773" s="32"/>
      <c r="R773" s="32"/>
      <c r="S773" s="31"/>
      <c r="T773" s="31"/>
      <c r="U773" s="33"/>
      <c r="V773" s="33"/>
      <c r="W773" s="2"/>
    </row>
    <row r="774" spans="13:23" ht="14.25" customHeight="1" x14ac:dyDescent="0.3">
      <c r="M774" s="1"/>
      <c r="N774" s="31"/>
      <c r="O774" s="31"/>
      <c r="P774" s="31"/>
      <c r="Q774" s="32"/>
      <c r="R774" s="32"/>
      <c r="S774" s="31"/>
      <c r="T774" s="31"/>
      <c r="U774" s="33"/>
      <c r="V774" s="33"/>
      <c r="W774" s="2"/>
    </row>
    <row r="775" spans="13:23" ht="14.25" customHeight="1" x14ac:dyDescent="0.3">
      <c r="M775" s="1"/>
      <c r="N775" s="31"/>
      <c r="O775" s="31"/>
      <c r="P775" s="31"/>
      <c r="Q775" s="32"/>
      <c r="R775" s="32"/>
      <c r="S775" s="31"/>
      <c r="T775" s="31"/>
      <c r="U775" s="33"/>
      <c r="V775" s="33"/>
      <c r="W775" s="2"/>
    </row>
    <row r="776" spans="13:23" ht="14.25" customHeight="1" x14ac:dyDescent="0.3">
      <c r="M776" s="1"/>
      <c r="N776" s="31"/>
      <c r="O776" s="31"/>
      <c r="P776" s="31"/>
      <c r="Q776" s="32"/>
      <c r="R776" s="32"/>
      <c r="S776" s="31"/>
      <c r="T776" s="31"/>
      <c r="U776" s="33"/>
      <c r="V776" s="33"/>
      <c r="W776" s="2"/>
    </row>
    <row r="777" spans="13:23" ht="14.25" customHeight="1" x14ac:dyDescent="0.3">
      <c r="M777" s="1"/>
      <c r="N777" s="31"/>
      <c r="O777" s="31"/>
      <c r="P777" s="31"/>
      <c r="Q777" s="32"/>
      <c r="R777" s="32"/>
      <c r="S777" s="31"/>
      <c r="T777" s="31"/>
      <c r="U777" s="33"/>
      <c r="V777" s="33"/>
      <c r="W777" s="2"/>
    </row>
    <row r="778" spans="13:23" ht="14.25" customHeight="1" x14ac:dyDescent="0.3">
      <c r="M778" s="1"/>
      <c r="N778" s="31"/>
      <c r="O778" s="31"/>
      <c r="P778" s="31"/>
      <c r="Q778" s="32"/>
      <c r="R778" s="32"/>
      <c r="S778" s="31"/>
      <c r="T778" s="31"/>
      <c r="U778" s="33"/>
      <c r="V778" s="33"/>
      <c r="W778" s="2"/>
    </row>
    <row r="779" spans="13:23" ht="14.25" customHeight="1" x14ac:dyDescent="0.3">
      <c r="M779" s="1"/>
      <c r="N779" s="31"/>
      <c r="O779" s="31"/>
      <c r="P779" s="31"/>
      <c r="Q779" s="32"/>
      <c r="R779" s="32"/>
      <c r="S779" s="31"/>
      <c r="T779" s="31"/>
      <c r="U779" s="33"/>
      <c r="V779" s="33"/>
      <c r="W779" s="2"/>
    </row>
    <row r="780" spans="13:23" ht="14.25" customHeight="1" x14ac:dyDescent="0.3">
      <c r="M780" s="1"/>
      <c r="N780" s="31"/>
      <c r="O780" s="31"/>
      <c r="P780" s="31"/>
      <c r="Q780" s="32"/>
      <c r="R780" s="32"/>
      <c r="S780" s="31"/>
      <c r="T780" s="31"/>
      <c r="U780" s="33"/>
      <c r="V780" s="33"/>
      <c r="W780" s="2"/>
    </row>
    <row r="781" spans="13:23" ht="14.25" customHeight="1" x14ac:dyDescent="0.3">
      <c r="M781" s="1"/>
      <c r="N781" s="31"/>
      <c r="O781" s="31"/>
      <c r="P781" s="31"/>
      <c r="Q781" s="32"/>
      <c r="R781" s="32"/>
      <c r="S781" s="31"/>
      <c r="T781" s="31"/>
      <c r="U781" s="33"/>
      <c r="V781" s="33"/>
      <c r="W781" s="2"/>
    </row>
    <row r="782" spans="13:23" ht="14.25" customHeight="1" x14ac:dyDescent="0.3">
      <c r="M782" s="1"/>
      <c r="N782" s="31"/>
      <c r="O782" s="31"/>
      <c r="P782" s="31"/>
      <c r="Q782" s="32"/>
      <c r="R782" s="32"/>
      <c r="S782" s="31"/>
      <c r="T782" s="31"/>
      <c r="U782" s="33"/>
      <c r="V782" s="33"/>
      <c r="W782" s="2"/>
    </row>
    <row r="783" spans="13:23" ht="14.25" customHeight="1" x14ac:dyDescent="0.3">
      <c r="M783" s="1"/>
      <c r="N783" s="31"/>
      <c r="O783" s="31"/>
      <c r="P783" s="31"/>
      <c r="Q783" s="32"/>
      <c r="R783" s="32"/>
      <c r="S783" s="31"/>
      <c r="T783" s="31"/>
      <c r="U783" s="33"/>
      <c r="V783" s="33"/>
      <c r="W783" s="2"/>
    </row>
    <row r="784" spans="13:23" ht="14.25" customHeight="1" x14ac:dyDescent="0.3">
      <c r="M784" s="1"/>
      <c r="N784" s="31"/>
      <c r="O784" s="31"/>
      <c r="P784" s="31"/>
      <c r="Q784" s="32"/>
      <c r="R784" s="32"/>
      <c r="S784" s="31"/>
      <c r="T784" s="31"/>
      <c r="U784" s="33"/>
      <c r="V784" s="33"/>
      <c r="W784" s="2"/>
    </row>
    <row r="785" spans="13:23" ht="14.25" customHeight="1" x14ac:dyDescent="0.3">
      <c r="M785" s="1"/>
      <c r="N785" s="31"/>
      <c r="O785" s="31"/>
      <c r="P785" s="31"/>
      <c r="Q785" s="32"/>
      <c r="R785" s="32"/>
      <c r="S785" s="31"/>
      <c r="T785" s="31"/>
      <c r="U785" s="33"/>
      <c r="V785" s="33"/>
      <c r="W785" s="2"/>
    </row>
    <row r="786" spans="13:23" ht="14.25" customHeight="1" x14ac:dyDescent="0.3">
      <c r="M786" s="1"/>
      <c r="N786" s="31"/>
      <c r="O786" s="31"/>
      <c r="P786" s="31"/>
      <c r="Q786" s="32"/>
      <c r="R786" s="32"/>
      <c r="S786" s="31"/>
      <c r="T786" s="31"/>
      <c r="U786" s="33"/>
      <c r="V786" s="33"/>
      <c r="W786" s="2"/>
    </row>
    <row r="787" spans="13:23" ht="14.25" customHeight="1" x14ac:dyDescent="0.3">
      <c r="M787" s="1"/>
      <c r="N787" s="31"/>
      <c r="O787" s="31"/>
      <c r="P787" s="31"/>
      <c r="Q787" s="32"/>
      <c r="R787" s="32"/>
      <c r="S787" s="31"/>
      <c r="T787" s="31"/>
      <c r="U787" s="33"/>
      <c r="V787" s="33"/>
      <c r="W787" s="2"/>
    </row>
    <row r="788" spans="13:23" ht="14.25" customHeight="1" x14ac:dyDescent="0.3">
      <c r="M788" s="1"/>
      <c r="N788" s="31"/>
      <c r="O788" s="31"/>
      <c r="P788" s="31"/>
      <c r="Q788" s="32"/>
      <c r="R788" s="32"/>
      <c r="S788" s="31"/>
      <c r="T788" s="31"/>
      <c r="U788" s="33"/>
      <c r="V788" s="33"/>
      <c r="W788" s="2"/>
    </row>
    <row r="789" spans="13:23" ht="14.25" customHeight="1" x14ac:dyDescent="0.3">
      <c r="M789" s="1"/>
      <c r="N789" s="31"/>
      <c r="O789" s="31"/>
      <c r="P789" s="31"/>
      <c r="Q789" s="32"/>
      <c r="R789" s="32"/>
      <c r="S789" s="31"/>
      <c r="T789" s="31"/>
      <c r="U789" s="33"/>
      <c r="V789" s="33"/>
      <c r="W789" s="2"/>
    </row>
    <row r="790" spans="13:23" ht="14.25" customHeight="1" x14ac:dyDescent="0.3">
      <c r="M790" s="1"/>
      <c r="N790" s="31"/>
      <c r="O790" s="31"/>
      <c r="P790" s="31"/>
      <c r="Q790" s="32"/>
      <c r="R790" s="32"/>
      <c r="S790" s="31"/>
      <c r="T790" s="31"/>
      <c r="U790" s="33"/>
      <c r="V790" s="33"/>
      <c r="W790" s="2"/>
    </row>
    <row r="791" spans="13:23" ht="14.25" customHeight="1" x14ac:dyDescent="0.3">
      <c r="M791" s="1"/>
      <c r="N791" s="31"/>
      <c r="O791" s="31"/>
      <c r="P791" s="31"/>
      <c r="Q791" s="32"/>
      <c r="R791" s="32"/>
      <c r="S791" s="31"/>
      <c r="T791" s="31"/>
      <c r="U791" s="33"/>
      <c r="V791" s="33"/>
      <c r="W791" s="2"/>
    </row>
    <row r="792" spans="13:23" ht="14.25" customHeight="1" x14ac:dyDescent="0.3">
      <c r="M792" s="1"/>
      <c r="N792" s="31"/>
      <c r="O792" s="31"/>
      <c r="P792" s="31"/>
      <c r="Q792" s="32"/>
      <c r="R792" s="32"/>
      <c r="S792" s="31"/>
      <c r="T792" s="31"/>
      <c r="U792" s="33"/>
      <c r="V792" s="33"/>
      <c r="W792" s="2"/>
    </row>
    <row r="793" spans="13:23" ht="14.25" customHeight="1" x14ac:dyDescent="0.3">
      <c r="M793" s="1"/>
      <c r="N793" s="31"/>
      <c r="O793" s="31"/>
      <c r="P793" s="31"/>
      <c r="Q793" s="32"/>
      <c r="R793" s="32"/>
      <c r="S793" s="31"/>
      <c r="T793" s="31"/>
      <c r="U793" s="33"/>
      <c r="V793" s="33"/>
      <c r="W793" s="2"/>
    </row>
    <row r="794" spans="13:23" ht="14.25" customHeight="1" x14ac:dyDescent="0.3">
      <c r="M794" s="1"/>
      <c r="N794" s="31"/>
      <c r="O794" s="31"/>
      <c r="P794" s="31"/>
      <c r="Q794" s="32"/>
      <c r="R794" s="32"/>
      <c r="S794" s="31"/>
      <c r="T794" s="31"/>
      <c r="U794" s="33"/>
      <c r="V794" s="33"/>
      <c r="W794" s="2"/>
    </row>
    <row r="795" spans="13:23" ht="14.25" customHeight="1" x14ac:dyDescent="0.3">
      <c r="M795" s="1"/>
      <c r="N795" s="31"/>
      <c r="O795" s="31"/>
      <c r="P795" s="31"/>
      <c r="Q795" s="32"/>
      <c r="R795" s="32"/>
      <c r="S795" s="31"/>
      <c r="T795" s="31"/>
      <c r="U795" s="33"/>
      <c r="V795" s="33"/>
      <c r="W795" s="2"/>
    </row>
    <row r="796" spans="13:23" ht="14.25" customHeight="1" x14ac:dyDescent="0.3">
      <c r="M796" s="1"/>
      <c r="N796" s="31"/>
      <c r="O796" s="31"/>
      <c r="P796" s="31"/>
      <c r="Q796" s="32"/>
      <c r="R796" s="32"/>
      <c r="S796" s="31"/>
      <c r="T796" s="31"/>
      <c r="U796" s="33"/>
      <c r="V796" s="33"/>
      <c r="W796" s="2"/>
    </row>
    <row r="797" spans="13:23" ht="14.25" customHeight="1" x14ac:dyDescent="0.3">
      <c r="M797" s="1"/>
      <c r="N797" s="31"/>
      <c r="O797" s="31"/>
      <c r="P797" s="31"/>
      <c r="Q797" s="32"/>
      <c r="R797" s="32"/>
      <c r="S797" s="31"/>
      <c r="T797" s="31"/>
      <c r="U797" s="33"/>
      <c r="V797" s="33"/>
      <c r="W797" s="2"/>
    </row>
    <row r="798" spans="13:23" ht="14.25" customHeight="1" x14ac:dyDescent="0.3">
      <c r="M798" s="1"/>
      <c r="N798" s="31"/>
      <c r="O798" s="31"/>
      <c r="P798" s="31"/>
      <c r="Q798" s="32"/>
      <c r="R798" s="32"/>
      <c r="S798" s="31"/>
      <c r="T798" s="31"/>
      <c r="U798" s="33"/>
      <c r="V798" s="33"/>
      <c r="W798" s="2"/>
    </row>
    <row r="799" spans="13:23" ht="14.25" customHeight="1" x14ac:dyDescent="0.3">
      <c r="M799" s="1"/>
      <c r="N799" s="31"/>
      <c r="O799" s="31"/>
      <c r="P799" s="31"/>
      <c r="Q799" s="32"/>
      <c r="R799" s="32"/>
      <c r="S799" s="31"/>
      <c r="T799" s="31"/>
      <c r="U799" s="33"/>
      <c r="V799" s="33"/>
      <c r="W799" s="2"/>
    </row>
    <row r="800" spans="13:23" ht="14.25" customHeight="1" x14ac:dyDescent="0.3">
      <c r="M800" s="1"/>
      <c r="N800" s="31"/>
      <c r="O800" s="31"/>
      <c r="P800" s="31"/>
      <c r="Q800" s="32"/>
      <c r="R800" s="32"/>
      <c r="S800" s="31"/>
      <c r="T800" s="31"/>
      <c r="U800" s="33"/>
      <c r="V800" s="33"/>
      <c r="W800" s="2"/>
    </row>
    <row r="801" spans="13:23" ht="14.25" customHeight="1" x14ac:dyDescent="0.3">
      <c r="M801" s="1"/>
      <c r="N801" s="31"/>
      <c r="O801" s="31"/>
      <c r="P801" s="31"/>
      <c r="Q801" s="32"/>
      <c r="R801" s="32"/>
      <c r="S801" s="31"/>
      <c r="T801" s="31"/>
      <c r="U801" s="33"/>
      <c r="V801" s="33"/>
      <c r="W801" s="2"/>
    </row>
    <row r="802" spans="13:23" ht="14.25" customHeight="1" x14ac:dyDescent="0.3">
      <c r="M802" s="1"/>
      <c r="N802" s="31"/>
      <c r="O802" s="31"/>
      <c r="P802" s="31"/>
      <c r="Q802" s="32"/>
      <c r="R802" s="32"/>
      <c r="S802" s="31"/>
      <c r="T802" s="31"/>
      <c r="U802" s="33"/>
      <c r="V802" s="33"/>
      <c r="W802" s="2"/>
    </row>
    <row r="803" spans="13:23" ht="14.25" customHeight="1" x14ac:dyDescent="0.3">
      <c r="M803" s="1"/>
      <c r="N803" s="31"/>
      <c r="O803" s="31"/>
      <c r="P803" s="31"/>
      <c r="Q803" s="32"/>
      <c r="R803" s="32"/>
      <c r="S803" s="31"/>
      <c r="T803" s="31"/>
      <c r="U803" s="33"/>
      <c r="V803" s="33"/>
      <c r="W803" s="2"/>
    </row>
    <row r="804" spans="13:23" ht="14.25" customHeight="1" x14ac:dyDescent="0.3">
      <c r="M804" s="1"/>
      <c r="N804" s="31"/>
      <c r="O804" s="31"/>
      <c r="P804" s="31"/>
      <c r="Q804" s="32"/>
      <c r="R804" s="32"/>
      <c r="S804" s="31"/>
      <c r="T804" s="31"/>
      <c r="U804" s="33"/>
      <c r="V804" s="33"/>
      <c r="W804" s="2"/>
    </row>
    <row r="805" spans="13:23" ht="14.25" customHeight="1" x14ac:dyDescent="0.3">
      <c r="M805" s="1"/>
      <c r="N805" s="31"/>
      <c r="O805" s="31"/>
      <c r="P805" s="31"/>
      <c r="Q805" s="32"/>
      <c r="R805" s="32"/>
      <c r="S805" s="31"/>
      <c r="T805" s="31"/>
      <c r="U805" s="33"/>
      <c r="V805" s="33"/>
      <c r="W805" s="2"/>
    </row>
    <row r="806" spans="13:23" ht="14.25" customHeight="1" x14ac:dyDescent="0.3">
      <c r="M806" s="1"/>
      <c r="N806" s="31"/>
      <c r="O806" s="31"/>
      <c r="P806" s="31"/>
      <c r="Q806" s="32"/>
      <c r="R806" s="32"/>
      <c r="S806" s="31"/>
      <c r="T806" s="31"/>
      <c r="U806" s="33"/>
      <c r="V806" s="33"/>
      <c r="W806" s="2"/>
    </row>
    <row r="807" spans="13:23" ht="14.25" customHeight="1" x14ac:dyDescent="0.3">
      <c r="M807" s="1"/>
      <c r="N807" s="31"/>
      <c r="O807" s="31"/>
      <c r="P807" s="31"/>
      <c r="Q807" s="32"/>
      <c r="R807" s="32"/>
      <c r="S807" s="31"/>
      <c r="T807" s="31"/>
      <c r="U807" s="33"/>
      <c r="V807" s="33"/>
      <c r="W807" s="2"/>
    </row>
    <row r="808" spans="13:23" ht="14.25" customHeight="1" x14ac:dyDescent="0.3">
      <c r="M808" s="1"/>
      <c r="N808" s="31"/>
      <c r="O808" s="31"/>
      <c r="P808" s="31"/>
      <c r="Q808" s="32"/>
      <c r="R808" s="32"/>
      <c r="S808" s="31"/>
      <c r="T808" s="31"/>
      <c r="U808" s="33"/>
      <c r="V808" s="33"/>
      <c r="W808" s="2"/>
    </row>
    <row r="809" spans="13:23" ht="14.25" customHeight="1" x14ac:dyDescent="0.3">
      <c r="M809" s="1"/>
      <c r="N809" s="31"/>
      <c r="O809" s="31"/>
      <c r="P809" s="31"/>
      <c r="Q809" s="32"/>
      <c r="R809" s="32"/>
      <c r="S809" s="31"/>
      <c r="T809" s="31"/>
      <c r="U809" s="33"/>
      <c r="V809" s="33"/>
      <c r="W809" s="2"/>
    </row>
    <row r="810" spans="13:23" ht="14.25" customHeight="1" x14ac:dyDescent="0.3">
      <c r="M810" s="1"/>
      <c r="N810" s="31"/>
      <c r="O810" s="31"/>
      <c r="P810" s="31"/>
      <c r="Q810" s="32"/>
      <c r="R810" s="32"/>
      <c r="S810" s="31"/>
      <c r="T810" s="31"/>
      <c r="U810" s="33"/>
      <c r="V810" s="33"/>
      <c r="W810" s="2"/>
    </row>
    <row r="811" spans="13:23" ht="14.25" customHeight="1" x14ac:dyDescent="0.3">
      <c r="M811" s="1"/>
      <c r="N811" s="31"/>
      <c r="O811" s="31"/>
      <c r="P811" s="31"/>
      <c r="Q811" s="32"/>
      <c r="R811" s="32"/>
      <c r="S811" s="31"/>
      <c r="T811" s="31"/>
      <c r="U811" s="33"/>
      <c r="V811" s="33"/>
      <c r="W811" s="2"/>
    </row>
    <row r="812" spans="13:23" ht="14.25" customHeight="1" x14ac:dyDescent="0.3">
      <c r="M812" s="1"/>
      <c r="N812" s="31"/>
      <c r="O812" s="31"/>
      <c r="P812" s="31"/>
      <c r="Q812" s="32"/>
      <c r="R812" s="32"/>
      <c r="S812" s="31"/>
      <c r="T812" s="31"/>
      <c r="U812" s="33"/>
      <c r="V812" s="33"/>
      <c r="W812" s="2"/>
    </row>
    <row r="813" spans="13:23" ht="14.25" customHeight="1" x14ac:dyDescent="0.3">
      <c r="M813" s="1"/>
      <c r="N813" s="31"/>
      <c r="O813" s="31"/>
      <c r="P813" s="31"/>
      <c r="Q813" s="32"/>
      <c r="R813" s="32"/>
      <c r="S813" s="31"/>
      <c r="T813" s="31"/>
      <c r="U813" s="33"/>
      <c r="V813" s="33"/>
      <c r="W813" s="2"/>
    </row>
    <row r="814" spans="13:23" ht="14.25" customHeight="1" x14ac:dyDescent="0.3">
      <c r="M814" s="1"/>
      <c r="N814" s="31"/>
      <c r="O814" s="31"/>
      <c r="P814" s="31"/>
      <c r="Q814" s="32"/>
      <c r="R814" s="32"/>
      <c r="S814" s="31"/>
      <c r="T814" s="31"/>
      <c r="U814" s="33"/>
      <c r="V814" s="33"/>
      <c r="W814" s="2"/>
    </row>
    <row r="815" spans="13:23" ht="14.25" customHeight="1" x14ac:dyDescent="0.3">
      <c r="M815" s="1"/>
      <c r="N815" s="31"/>
      <c r="O815" s="31"/>
      <c r="P815" s="31"/>
      <c r="Q815" s="32"/>
      <c r="R815" s="32"/>
      <c r="S815" s="31"/>
      <c r="T815" s="31"/>
      <c r="U815" s="33"/>
      <c r="V815" s="33"/>
      <c r="W815" s="2"/>
    </row>
    <row r="816" spans="13:23" ht="14.25" customHeight="1" x14ac:dyDescent="0.3">
      <c r="M816" s="1"/>
      <c r="N816" s="31"/>
      <c r="O816" s="31"/>
      <c r="P816" s="31"/>
      <c r="Q816" s="32"/>
      <c r="R816" s="32"/>
      <c r="S816" s="31"/>
      <c r="T816" s="31"/>
      <c r="U816" s="33"/>
      <c r="V816" s="33"/>
      <c r="W816" s="2"/>
    </row>
    <row r="817" spans="13:23" ht="14.25" customHeight="1" x14ac:dyDescent="0.3">
      <c r="M817" s="1"/>
      <c r="N817" s="31"/>
      <c r="O817" s="31"/>
      <c r="P817" s="31"/>
      <c r="Q817" s="32"/>
      <c r="R817" s="32"/>
      <c r="S817" s="31"/>
      <c r="T817" s="31"/>
      <c r="U817" s="33"/>
      <c r="V817" s="33"/>
      <c r="W817" s="2"/>
    </row>
    <row r="818" spans="13:23" ht="14.25" customHeight="1" x14ac:dyDescent="0.3">
      <c r="M818" s="1"/>
      <c r="N818" s="31"/>
      <c r="O818" s="31"/>
      <c r="P818" s="31"/>
      <c r="Q818" s="32"/>
      <c r="R818" s="32"/>
      <c r="S818" s="31"/>
      <c r="T818" s="31"/>
      <c r="U818" s="33"/>
      <c r="V818" s="33"/>
      <c r="W818" s="2"/>
    </row>
    <row r="819" spans="13:23" ht="14.25" customHeight="1" x14ac:dyDescent="0.3">
      <c r="M819" s="1"/>
      <c r="N819" s="31"/>
      <c r="O819" s="31"/>
      <c r="P819" s="31"/>
      <c r="Q819" s="32"/>
      <c r="R819" s="32"/>
      <c r="S819" s="31"/>
      <c r="T819" s="31"/>
      <c r="U819" s="33"/>
      <c r="V819" s="33"/>
      <c r="W819" s="2"/>
    </row>
    <row r="820" spans="13:23" ht="14.25" customHeight="1" x14ac:dyDescent="0.3">
      <c r="M820" s="1"/>
      <c r="N820" s="31"/>
      <c r="O820" s="31"/>
      <c r="P820" s="31"/>
      <c r="Q820" s="32"/>
      <c r="R820" s="32"/>
      <c r="S820" s="31"/>
      <c r="T820" s="31"/>
      <c r="U820" s="33"/>
      <c r="V820" s="33"/>
      <c r="W820" s="2"/>
    </row>
    <row r="821" spans="13:23" ht="14.25" customHeight="1" x14ac:dyDescent="0.3">
      <c r="M821" s="1"/>
      <c r="N821" s="31"/>
      <c r="O821" s="31"/>
      <c r="P821" s="31"/>
      <c r="Q821" s="32"/>
      <c r="R821" s="32"/>
      <c r="S821" s="31"/>
      <c r="T821" s="31"/>
      <c r="U821" s="33"/>
      <c r="V821" s="33"/>
      <c r="W821" s="2"/>
    </row>
    <row r="822" spans="13:23" ht="14.25" customHeight="1" x14ac:dyDescent="0.3">
      <c r="M822" s="1"/>
      <c r="N822" s="31"/>
      <c r="O822" s="31"/>
      <c r="P822" s="31"/>
      <c r="Q822" s="32"/>
      <c r="R822" s="32"/>
      <c r="S822" s="31"/>
      <c r="T822" s="31"/>
      <c r="U822" s="33"/>
      <c r="V822" s="33"/>
      <c r="W822" s="2"/>
    </row>
    <row r="823" spans="13:23" ht="14.25" customHeight="1" x14ac:dyDescent="0.3">
      <c r="M823" s="1"/>
      <c r="N823" s="31"/>
      <c r="O823" s="31"/>
      <c r="P823" s="31"/>
      <c r="Q823" s="32"/>
      <c r="R823" s="32"/>
      <c r="S823" s="31"/>
      <c r="T823" s="31"/>
      <c r="U823" s="33"/>
      <c r="V823" s="33"/>
      <c r="W823" s="2"/>
    </row>
    <row r="824" spans="13:23" ht="14.25" customHeight="1" x14ac:dyDescent="0.3">
      <c r="M824" s="1"/>
      <c r="N824" s="31"/>
      <c r="O824" s="31"/>
      <c r="P824" s="31"/>
      <c r="Q824" s="32"/>
      <c r="R824" s="32"/>
      <c r="S824" s="31"/>
      <c r="T824" s="31"/>
      <c r="U824" s="33"/>
      <c r="V824" s="33"/>
      <c r="W824" s="2"/>
    </row>
    <row r="825" spans="13:23" ht="14.25" customHeight="1" x14ac:dyDescent="0.3">
      <c r="M825" s="1"/>
      <c r="N825" s="31"/>
      <c r="O825" s="31"/>
      <c r="P825" s="31"/>
      <c r="Q825" s="32"/>
      <c r="R825" s="32"/>
      <c r="S825" s="31"/>
      <c r="T825" s="31"/>
      <c r="U825" s="33"/>
      <c r="V825" s="33"/>
      <c r="W825" s="2"/>
    </row>
    <row r="826" spans="13:23" ht="14.25" customHeight="1" x14ac:dyDescent="0.3">
      <c r="M826" s="1"/>
      <c r="N826" s="31"/>
      <c r="O826" s="31"/>
      <c r="P826" s="31"/>
      <c r="Q826" s="32"/>
      <c r="R826" s="32"/>
      <c r="S826" s="31"/>
      <c r="T826" s="31"/>
      <c r="U826" s="33"/>
      <c r="V826" s="33"/>
      <c r="W826" s="2"/>
    </row>
    <row r="827" spans="13:23" ht="14.25" customHeight="1" x14ac:dyDescent="0.3">
      <c r="M827" s="1"/>
      <c r="N827" s="31"/>
      <c r="O827" s="31"/>
      <c r="P827" s="31"/>
      <c r="Q827" s="32"/>
      <c r="R827" s="32"/>
      <c r="S827" s="31"/>
      <c r="T827" s="31"/>
      <c r="U827" s="33"/>
      <c r="V827" s="33"/>
      <c r="W827" s="2"/>
    </row>
    <row r="828" spans="13:23" ht="14.25" customHeight="1" x14ac:dyDescent="0.3">
      <c r="M828" s="1"/>
      <c r="N828" s="31"/>
      <c r="O828" s="31"/>
      <c r="P828" s="31"/>
      <c r="Q828" s="32"/>
      <c r="R828" s="32"/>
      <c r="S828" s="31"/>
      <c r="T828" s="31"/>
      <c r="U828" s="33"/>
      <c r="V828" s="33"/>
      <c r="W828" s="2"/>
    </row>
    <row r="829" spans="13:23" ht="14.25" customHeight="1" x14ac:dyDescent="0.3">
      <c r="M829" s="1"/>
      <c r="N829" s="31"/>
      <c r="O829" s="31"/>
      <c r="P829" s="31"/>
      <c r="Q829" s="32"/>
      <c r="R829" s="32"/>
      <c r="S829" s="31"/>
      <c r="T829" s="31"/>
      <c r="U829" s="33"/>
      <c r="V829" s="33"/>
      <c r="W829" s="2"/>
    </row>
    <row r="830" spans="13:23" ht="14.25" customHeight="1" x14ac:dyDescent="0.3">
      <c r="M830" s="1"/>
      <c r="N830" s="31"/>
      <c r="O830" s="31"/>
      <c r="P830" s="31"/>
      <c r="Q830" s="32"/>
      <c r="R830" s="32"/>
      <c r="S830" s="31"/>
      <c r="T830" s="31"/>
      <c r="U830" s="33"/>
      <c r="V830" s="33"/>
      <c r="W830" s="2"/>
    </row>
    <row r="831" spans="13:23" ht="14.25" customHeight="1" x14ac:dyDescent="0.3">
      <c r="M831" s="1"/>
      <c r="N831" s="31"/>
      <c r="O831" s="31"/>
      <c r="P831" s="31"/>
      <c r="Q831" s="32"/>
      <c r="R831" s="32"/>
      <c r="S831" s="31"/>
      <c r="T831" s="31"/>
      <c r="U831" s="33"/>
      <c r="V831" s="33"/>
      <c r="W831" s="2"/>
    </row>
    <row r="832" spans="13:23" ht="14.25" customHeight="1" x14ac:dyDescent="0.3">
      <c r="M832" s="1"/>
      <c r="N832" s="31"/>
      <c r="O832" s="31"/>
      <c r="P832" s="31"/>
      <c r="Q832" s="32"/>
      <c r="R832" s="32"/>
      <c r="S832" s="31"/>
      <c r="T832" s="31"/>
      <c r="U832" s="33"/>
      <c r="V832" s="33"/>
      <c r="W832" s="2"/>
    </row>
    <row r="833" spans="13:23" ht="14.25" customHeight="1" x14ac:dyDescent="0.3">
      <c r="M833" s="1"/>
      <c r="N833" s="31"/>
      <c r="O833" s="31"/>
      <c r="P833" s="31"/>
      <c r="Q833" s="32"/>
      <c r="R833" s="32"/>
      <c r="S833" s="31"/>
      <c r="T833" s="31"/>
      <c r="U833" s="33"/>
      <c r="V833" s="33"/>
      <c r="W833" s="2"/>
    </row>
    <row r="834" spans="13:23" ht="14.25" customHeight="1" x14ac:dyDescent="0.3">
      <c r="M834" s="1"/>
      <c r="N834" s="31"/>
      <c r="O834" s="31"/>
      <c r="P834" s="31"/>
      <c r="Q834" s="32"/>
      <c r="R834" s="32"/>
      <c r="S834" s="31"/>
      <c r="T834" s="31"/>
      <c r="U834" s="33"/>
      <c r="V834" s="33"/>
      <c r="W834" s="2"/>
    </row>
    <row r="835" spans="13:23" ht="14.25" customHeight="1" x14ac:dyDescent="0.3">
      <c r="M835" s="1"/>
      <c r="N835" s="31"/>
      <c r="O835" s="31"/>
      <c r="P835" s="31"/>
      <c r="Q835" s="32"/>
      <c r="R835" s="32"/>
      <c r="S835" s="31"/>
      <c r="T835" s="31"/>
      <c r="U835" s="33"/>
      <c r="V835" s="33"/>
      <c r="W835" s="2"/>
    </row>
    <row r="836" spans="13:23" ht="14.25" customHeight="1" x14ac:dyDescent="0.3">
      <c r="M836" s="1"/>
      <c r="N836" s="31"/>
      <c r="O836" s="31"/>
      <c r="P836" s="31"/>
      <c r="Q836" s="32"/>
      <c r="R836" s="32"/>
      <c r="S836" s="31"/>
      <c r="T836" s="31"/>
      <c r="U836" s="33"/>
      <c r="V836" s="33"/>
      <c r="W836" s="2"/>
    </row>
    <row r="837" spans="13:23" ht="14.25" customHeight="1" x14ac:dyDescent="0.3">
      <c r="M837" s="1"/>
      <c r="N837" s="31"/>
      <c r="O837" s="31"/>
      <c r="P837" s="31"/>
      <c r="Q837" s="32"/>
      <c r="R837" s="32"/>
      <c r="S837" s="31"/>
      <c r="T837" s="31"/>
      <c r="U837" s="33"/>
      <c r="V837" s="33"/>
      <c r="W837" s="2"/>
    </row>
    <row r="838" spans="13:23" ht="14.25" customHeight="1" x14ac:dyDescent="0.3">
      <c r="M838" s="1"/>
      <c r="N838" s="31"/>
      <c r="O838" s="31"/>
      <c r="P838" s="31"/>
      <c r="Q838" s="32"/>
      <c r="R838" s="32"/>
      <c r="S838" s="31"/>
      <c r="T838" s="31"/>
      <c r="U838" s="33"/>
      <c r="V838" s="33"/>
      <c r="W838" s="2"/>
    </row>
    <row r="839" spans="13:23" ht="14.25" customHeight="1" x14ac:dyDescent="0.3">
      <c r="M839" s="1"/>
      <c r="N839" s="31"/>
      <c r="O839" s="31"/>
      <c r="P839" s="31"/>
      <c r="Q839" s="32"/>
      <c r="R839" s="32"/>
      <c r="S839" s="31"/>
      <c r="T839" s="31"/>
      <c r="U839" s="33"/>
      <c r="V839" s="33"/>
      <c r="W839" s="2"/>
    </row>
    <row r="840" spans="13:23" ht="14.25" customHeight="1" x14ac:dyDescent="0.3">
      <c r="M840" s="1"/>
      <c r="N840" s="31"/>
      <c r="O840" s="31"/>
      <c r="P840" s="31"/>
      <c r="Q840" s="32"/>
      <c r="R840" s="32"/>
      <c r="S840" s="31"/>
      <c r="T840" s="31"/>
      <c r="U840" s="33"/>
      <c r="V840" s="33"/>
      <c r="W840" s="2"/>
    </row>
    <row r="841" spans="13:23" ht="14.25" customHeight="1" x14ac:dyDescent="0.3">
      <c r="M841" s="1"/>
      <c r="N841" s="31"/>
      <c r="O841" s="31"/>
      <c r="P841" s="31"/>
      <c r="Q841" s="32"/>
      <c r="R841" s="32"/>
      <c r="S841" s="31"/>
      <c r="T841" s="31"/>
      <c r="U841" s="33"/>
      <c r="V841" s="33"/>
      <c r="W841" s="2"/>
    </row>
    <row r="842" spans="13:23" ht="14.25" customHeight="1" x14ac:dyDescent="0.3">
      <c r="M842" s="1"/>
      <c r="N842" s="31"/>
      <c r="O842" s="31"/>
      <c r="P842" s="31"/>
      <c r="Q842" s="32"/>
      <c r="R842" s="32"/>
      <c r="S842" s="31"/>
      <c r="T842" s="31"/>
      <c r="U842" s="33"/>
      <c r="V842" s="33"/>
      <c r="W842" s="2"/>
    </row>
    <row r="843" spans="13:23" ht="14.25" customHeight="1" x14ac:dyDescent="0.3">
      <c r="M843" s="1"/>
      <c r="N843" s="31"/>
      <c r="O843" s="31"/>
      <c r="P843" s="31"/>
      <c r="Q843" s="32"/>
      <c r="R843" s="32"/>
      <c r="S843" s="31"/>
      <c r="T843" s="31"/>
      <c r="U843" s="33"/>
      <c r="V843" s="33"/>
      <c r="W843" s="2"/>
    </row>
    <row r="844" spans="13:23" ht="14.25" customHeight="1" x14ac:dyDescent="0.3">
      <c r="M844" s="1"/>
      <c r="N844" s="31"/>
      <c r="O844" s="31"/>
      <c r="P844" s="31"/>
      <c r="Q844" s="32"/>
      <c r="R844" s="32"/>
      <c r="S844" s="31"/>
      <c r="T844" s="31"/>
      <c r="U844" s="33"/>
      <c r="V844" s="33"/>
      <c r="W844" s="2"/>
    </row>
    <row r="845" spans="13:23" ht="14.25" customHeight="1" x14ac:dyDescent="0.3">
      <c r="M845" s="1"/>
      <c r="N845" s="31"/>
      <c r="O845" s="31"/>
      <c r="P845" s="31"/>
      <c r="Q845" s="32"/>
      <c r="R845" s="32"/>
      <c r="S845" s="31"/>
      <c r="T845" s="31"/>
      <c r="U845" s="33"/>
      <c r="V845" s="33"/>
      <c r="W845" s="2"/>
    </row>
    <row r="846" spans="13:23" ht="14.25" customHeight="1" x14ac:dyDescent="0.3">
      <c r="M846" s="1"/>
      <c r="N846" s="31"/>
      <c r="O846" s="31"/>
      <c r="P846" s="31"/>
      <c r="Q846" s="32"/>
      <c r="R846" s="32"/>
      <c r="S846" s="31"/>
      <c r="T846" s="31"/>
      <c r="U846" s="33"/>
      <c r="V846" s="33"/>
      <c r="W846" s="2"/>
    </row>
    <row r="847" spans="13:23" ht="14.25" customHeight="1" x14ac:dyDescent="0.3">
      <c r="M847" s="1"/>
      <c r="N847" s="31"/>
      <c r="O847" s="31"/>
      <c r="P847" s="31"/>
      <c r="Q847" s="32"/>
      <c r="R847" s="32"/>
      <c r="S847" s="31"/>
      <c r="T847" s="31"/>
      <c r="U847" s="33"/>
      <c r="V847" s="33"/>
      <c r="W847" s="2"/>
    </row>
    <row r="848" spans="13:23" ht="14.25" customHeight="1" x14ac:dyDescent="0.3">
      <c r="M848" s="1"/>
      <c r="N848" s="31"/>
      <c r="O848" s="31"/>
      <c r="P848" s="31"/>
      <c r="Q848" s="32"/>
      <c r="R848" s="32"/>
      <c r="S848" s="31"/>
      <c r="T848" s="31"/>
      <c r="U848" s="33"/>
      <c r="V848" s="33"/>
      <c r="W848" s="2"/>
    </row>
    <row r="849" spans="13:23" ht="14.25" customHeight="1" x14ac:dyDescent="0.3">
      <c r="M849" s="1"/>
      <c r="N849" s="31"/>
      <c r="O849" s="31"/>
      <c r="P849" s="31"/>
      <c r="Q849" s="32"/>
      <c r="R849" s="32"/>
      <c r="S849" s="31"/>
      <c r="T849" s="31"/>
      <c r="U849" s="33"/>
      <c r="V849" s="33"/>
      <c r="W849" s="2"/>
    </row>
    <row r="850" spans="13:23" ht="14.25" customHeight="1" x14ac:dyDescent="0.3">
      <c r="M850" s="1"/>
      <c r="N850" s="31"/>
      <c r="O850" s="31"/>
      <c r="P850" s="31"/>
      <c r="Q850" s="32"/>
      <c r="R850" s="32"/>
      <c r="S850" s="31"/>
      <c r="T850" s="31"/>
      <c r="U850" s="33"/>
      <c r="V850" s="33"/>
      <c r="W850" s="2"/>
    </row>
    <row r="851" spans="13:23" ht="14.25" customHeight="1" x14ac:dyDescent="0.3">
      <c r="M851" s="1"/>
      <c r="N851" s="31"/>
      <c r="O851" s="31"/>
      <c r="P851" s="31"/>
      <c r="Q851" s="32"/>
      <c r="R851" s="32"/>
      <c r="S851" s="31"/>
      <c r="T851" s="31"/>
      <c r="U851" s="33"/>
      <c r="V851" s="33"/>
      <c r="W851" s="2"/>
    </row>
    <row r="852" spans="13:23" ht="14.25" customHeight="1" x14ac:dyDescent="0.3">
      <c r="M852" s="1"/>
      <c r="N852" s="31"/>
      <c r="O852" s="31"/>
      <c r="P852" s="31"/>
      <c r="Q852" s="32"/>
      <c r="R852" s="32"/>
      <c r="S852" s="31"/>
      <c r="T852" s="31"/>
      <c r="U852" s="33"/>
      <c r="V852" s="33"/>
      <c r="W852" s="2"/>
    </row>
    <row r="853" spans="13:23" ht="14.25" customHeight="1" x14ac:dyDescent="0.3">
      <c r="M853" s="1"/>
      <c r="N853" s="31"/>
      <c r="O853" s="31"/>
      <c r="P853" s="31"/>
      <c r="Q853" s="32"/>
      <c r="R853" s="32"/>
      <c r="S853" s="31"/>
      <c r="T853" s="31"/>
      <c r="U853" s="33"/>
      <c r="V853" s="33"/>
      <c r="W853" s="2"/>
    </row>
    <row r="854" spans="13:23" ht="14.25" customHeight="1" x14ac:dyDescent="0.3">
      <c r="M854" s="1"/>
      <c r="N854" s="31"/>
      <c r="O854" s="31"/>
      <c r="P854" s="31"/>
      <c r="Q854" s="32"/>
      <c r="R854" s="32"/>
      <c r="S854" s="31"/>
      <c r="T854" s="31"/>
      <c r="U854" s="33"/>
      <c r="V854" s="33"/>
      <c r="W854" s="2"/>
    </row>
    <row r="855" spans="13:23" ht="14.25" customHeight="1" x14ac:dyDescent="0.3">
      <c r="M855" s="1"/>
      <c r="N855" s="31"/>
      <c r="O855" s="31"/>
      <c r="P855" s="31"/>
      <c r="Q855" s="32"/>
      <c r="R855" s="32"/>
      <c r="S855" s="31"/>
      <c r="T855" s="31"/>
      <c r="U855" s="33"/>
      <c r="V855" s="33"/>
      <c r="W855" s="2"/>
    </row>
    <row r="856" spans="13:23" ht="14.25" customHeight="1" x14ac:dyDescent="0.3">
      <c r="M856" s="1"/>
      <c r="N856" s="31"/>
      <c r="O856" s="31"/>
      <c r="P856" s="31"/>
      <c r="Q856" s="32"/>
      <c r="R856" s="32"/>
      <c r="S856" s="31"/>
      <c r="T856" s="31"/>
      <c r="U856" s="33"/>
      <c r="V856" s="33"/>
      <c r="W856" s="2"/>
    </row>
    <row r="857" spans="13:23" ht="14.25" customHeight="1" x14ac:dyDescent="0.3">
      <c r="M857" s="1"/>
      <c r="N857" s="31"/>
      <c r="O857" s="31"/>
      <c r="P857" s="31"/>
      <c r="Q857" s="32"/>
      <c r="R857" s="32"/>
      <c r="S857" s="31"/>
      <c r="T857" s="31"/>
      <c r="U857" s="33"/>
      <c r="V857" s="33"/>
      <c r="W857" s="2"/>
    </row>
    <row r="858" spans="13:23" ht="14.25" customHeight="1" x14ac:dyDescent="0.3">
      <c r="M858" s="1"/>
      <c r="N858" s="31"/>
      <c r="O858" s="31"/>
      <c r="P858" s="31"/>
      <c r="Q858" s="32"/>
      <c r="R858" s="32"/>
      <c r="S858" s="31"/>
      <c r="T858" s="31"/>
      <c r="U858" s="33"/>
      <c r="V858" s="33"/>
      <c r="W858" s="2"/>
    </row>
    <row r="859" spans="13:23" ht="14.25" customHeight="1" x14ac:dyDescent="0.3">
      <c r="M859" s="1"/>
      <c r="N859" s="31"/>
      <c r="O859" s="31"/>
      <c r="P859" s="31"/>
      <c r="Q859" s="32"/>
      <c r="R859" s="32"/>
      <c r="S859" s="31"/>
      <c r="T859" s="31"/>
      <c r="U859" s="33"/>
      <c r="V859" s="33"/>
      <c r="W859" s="2"/>
    </row>
    <row r="860" spans="13:23" ht="14.25" customHeight="1" x14ac:dyDescent="0.3">
      <c r="M860" s="1"/>
      <c r="N860" s="31"/>
      <c r="O860" s="31"/>
      <c r="P860" s="31"/>
      <c r="Q860" s="32"/>
      <c r="R860" s="32"/>
      <c r="S860" s="31"/>
      <c r="T860" s="31"/>
      <c r="U860" s="33"/>
      <c r="V860" s="33"/>
      <c r="W860" s="2"/>
    </row>
    <row r="861" spans="13:23" ht="14.25" customHeight="1" x14ac:dyDescent="0.3">
      <c r="M861" s="1"/>
      <c r="N861" s="31"/>
      <c r="O861" s="31"/>
      <c r="P861" s="31"/>
      <c r="Q861" s="32"/>
      <c r="R861" s="32"/>
      <c r="S861" s="31"/>
      <c r="T861" s="31"/>
      <c r="U861" s="33"/>
      <c r="V861" s="33"/>
      <c r="W861" s="2"/>
    </row>
    <row r="862" spans="13:23" ht="14.25" customHeight="1" x14ac:dyDescent="0.3">
      <c r="M862" s="1"/>
      <c r="N862" s="31"/>
      <c r="O862" s="31"/>
      <c r="P862" s="31"/>
      <c r="Q862" s="32"/>
      <c r="R862" s="32"/>
      <c r="S862" s="31"/>
      <c r="T862" s="31"/>
      <c r="U862" s="33"/>
      <c r="V862" s="33"/>
      <c r="W862" s="2"/>
    </row>
    <row r="863" spans="13:23" ht="14.25" customHeight="1" x14ac:dyDescent="0.3">
      <c r="M863" s="1"/>
      <c r="N863" s="31"/>
      <c r="O863" s="31"/>
      <c r="P863" s="31"/>
      <c r="Q863" s="32"/>
      <c r="R863" s="32"/>
      <c r="S863" s="31"/>
      <c r="T863" s="31"/>
      <c r="U863" s="33"/>
      <c r="V863" s="33"/>
      <c r="W863" s="2"/>
    </row>
    <row r="864" spans="13:23" ht="14.25" customHeight="1" x14ac:dyDescent="0.3">
      <c r="M864" s="1"/>
      <c r="N864" s="31"/>
      <c r="O864" s="31"/>
      <c r="P864" s="31"/>
      <c r="Q864" s="32"/>
      <c r="R864" s="32"/>
      <c r="S864" s="31"/>
      <c r="T864" s="31"/>
      <c r="U864" s="33"/>
      <c r="V864" s="33"/>
      <c r="W864" s="2"/>
    </row>
    <row r="865" spans="13:23" ht="14.25" customHeight="1" x14ac:dyDescent="0.3">
      <c r="M865" s="1"/>
      <c r="N865" s="31"/>
      <c r="O865" s="31"/>
      <c r="P865" s="31"/>
      <c r="Q865" s="32"/>
      <c r="R865" s="32"/>
      <c r="S865" s="31"/>
      <c r="T865" s="31"/>
      <c r="U865" s="33"/>
      <c r="V865" s="33"/>
      <c r="W865" s="2"/>
    </row>
    <row r="866" spans="13:23" ht="14.25" customHeight="1" x14ac:dyDescent="0.3">
      <c r="M866" s="1"/>
      <c r="N866" s="31"/>
      <c r="O866" s="31"/>
      <c r="P866" s="31"/>
      <c r="Q866" s="32"/>
      <c r="R866" s="32"/>
      <c r="S866" s="31"/>
      <c r="T866" s="31"/>
      <c r="U866" s="33"/>
      <c r="V866" s="33"/>
      <c r="W866" s="2"/>
    </row>
    <row r="867" spans="13:23" ht="14.25" customHeight="1" x14ac:dyDescent="0.3">
      <c r="M867" s="1"/>
      <c r="N867" s="31"/>
      <c r="O867" s="31"/>
      <c r="P867" s="31"/>
      <c r="Q867" s="32"/>
      <c r="R867" s="32"/>
      <c r="S867" s="31"/>
      <c r="T867" s="31"/>
      <c r="U867" s="33"/>
      <c r="V867" s="33"/>
      <c r="W867" s="2"/>
    </row>
    <row r="868" spans="13:23" ht="14.25" customHeight="1" x14ac:dyDescent="0.3">
      <c r="M868" s="1"/>
      <c r="N868" s="31"/>
      <c r="O868" s="31"/>
      <c r="P868" s="31"/>
      <c r="Q868" s="32"/>
      <c r="R868" s="32"/>
      <c r="S868" s="31"/>
      <c r="T868" s="31"/>
      <c r="U868" s="33"/>
      <c r="V868" s="33"/>
      <c r="W868" s="2"/>
    </row>
    <row r="869" spans="13:23" ht="14.25" customHeight="1" x14ac:dyDescent="0.3">
      <c r="M869" s="1"/>
      <c r="N869" s="31"/>
      <c r="O869" s="31"/>
      <c r="P869" s="31"/>
      <c r="Q869" s="32"/>
      <c r="R869" s="32"/>
      <c r="S869" s="31"/>
      <c r="T869" s="31"/>
      <c r="U869" s="33"/>
      <c r="V869" s="33"/>
      <c r="W869" s="2"/>
    </row>
    <row r="870" spans="13:23" ht="14.25" customHeight="1" x14ac:dyDescent="0.3">
      <c r="M870" s="1"/>
      <c r="N870" s="31"/>
      <c r="O870" s="31"/>
      <c r="P870" s="31"/>
      <c r="Q870" s="32"/>
      <c r="R870" s="32"/>
      <c r="S870" s="31"/>
      <c r="T870" s="31"/>
      <c r="U870" s="33"/>
      <c r="V870" s="33"/>
      <c r="W870" s="2"/>
    </row>
    <row r="871" spans="13:23" ht="14.25" customHeight="1" x14ac:dyDescent="0.3">
      <c r="M871" s="1"/>
      <c r="N871" s="31"/>
      <c r="O871" s="31"/>
      <c r="P871" s="31"/>
      <c r="Q871" s="32"/>
      <c r="R871" s="32"/>
      <c r="S871" s="31"/>
      <c r="T871" s="31"/>
      <c r="U871" s="33"/>
      <c r="V871" s="33"/>
      <c r="W871" s="2"/>
    </row>
    <row r="872" spans="13:23" ht="14.25" customHeight="1" x14ac:dyDescent="0.3">
      <c r="M872" s="1"/>
      <c r="N872" s="31"/>
      <c r="O872" s="31"/>
      <c r="P872" s="31"/>
      <c r="Q872" s="32"/>
      <c r="R872" s="32"/>
      <c r="S872" s="31"/>
      <c r="T872" s="31"/>
      <c r="U872" s="33"/>
      <c r="V872" s="33"/>
      <c r="W872" s="2"/>
    </row>
    <row r="873" spans="13:23" ht="14.25" customHeight="1" x14ac:dyDescent="0.3">
      <c r="M873" s="1"/>
      <c r="N873" s="31"/>
      <c r="O873" s="31"/>
      <c r="P873" s="31"/>
      <c r="Q873" s="32"/>
      <c r="R873" s="32"/>
      <c r="S873" s="31"/>
      <c r="T873" s="31"/>
      <c r="U873" s="33"/>
      <c r="V873" s="33"/>
      <c r="W873" s="2"/>
    </row>
    <row r="874" spans="13:23" ht="14.25" customHeight="1" x14ac:dyDescent="0.3">
      <c r="M874" s="1"/>
      <c r="N874" s="31"/>
      <c r="O874" s="31"/>
      <c r="P874" s="31"/>
      <c r="Q874" s="32"/>
      <c r="R874" s="32"/>
      <c r="S874" s="31"/>
      <c r="T874" s="31"/>
      <c r="U874" s="33"/>
      <c r="V874" s="33"/>
      <c r="W874" s="2"/>
    </row>
    <row r="875" spans="13:23" ht="14.25" customHeight="1" x14ac:dyDescent="0.3">
      <c r="M875" s="1"/>
      <c r="N875" s="31"/>
      <c r="O875" s="31"/>
      <c r="P875" s="31"/>
      <c r="Q875" s="32"/>
      <c r="R875" s="32"/>
      <c r="S875" s="31"/>
      <c r="T875" s="31"/>
      <c r="U875" s="33"/>
      <c r="V875" s="33"/>
      <c r="W875" s="2"/>
    </row>
    <row r="876" spans="13:23" ht="14.25" customHeight="1" x14ac:dyDescent="0.3">
      <c r="M876" s="1"/>
      <c r="N876" s="31"/>
      <c r="O876" s="31"/>
      <c r="P876" s="31"/>
      <c r="Q876" s="32"/>
      <c r="R876" s="32"/>
      <c r="S876" s="31"/>
      <c r="T876" s="31"/>
      <c r="U876" s="33"/>
      <c r="V876" s="33"/>
      <c r="W876" s="2"/>
    </row>
    <row r="877" spans="13:23" ht="14.25" customHeight="1" x14ac:dyDescent="0.3">
      <c r="M877" s="1"/>
      <c r="N877" s="31"/>
      <c r="O877" s="31"/>
      <c r="P877" s="31"/>
      <c r="Q877" s="32"/>
      <c r="R877" s="32"/>
      <c r="S877" s="31"/>
      <c r="T877" s="31"/>
      <c r="U877" s="33"/>
      <c r="V877" s="33"/>
      <c r="W877" s="2"/>
    </row>
    <row r="878" spans="13:23" ht="14.25" customHeight="1" x14ac:dyDescent="0.3">
      <c r="M878" s="1"/>
      <c r="N878" s="31"/>
      <c r="O878" s="31"/>
      <c r="P878" s="31"/>
      <c r="Q878" s="32"/>
      <c r="R878" s="32"/>
      <c r="S878" s="31"/>
      <c r="T878" s="31"/>
      <c r="U878" s="33"/>
      <c r="V878" s="33"/>
      <c r="W878" s="2"/>
    </row>
    <row r="879" spans="13:23" ht="14.25" customHeight="1" x14ac:dyDescent="0.3">
      <c r="M879" s="1"/>
      <c r="N879" s="31"/>
      <c r="O879" s="31"/>
      <c r="P879" s="31"/>
      <c r="Q879" s="32"/>
      <c r="R879" s="32"/>
      <c r="S879" s="31"/>
      <c r="T879" s="31"/>
      <c r="U879" s="33"/>
      <c r="V879" s="33"/>
      <c r="W879" s="2"/>
    </row>
    <row r="880" spans="13:23" ht="14.25" customHeight="1" x14ac:dyDescent="0.3">
      <c r="M880" s="1"/>
      <c r="N880" s="31"/>
      <c r="O880" s="31"/>
      <c r="P880" s="31"/>
      <c r="Q880" s="32"/>
      <c r="R880" s="32"/>
      <c r="S880" s="31"/>
      <c r="T880" s="31"/>
      <c r="U880" s="33"/>
      <c r="V880" s="33"/>
      <c r="W880" s="2"/>
    </row>
    <row r="881" spans="13:23" ht="14.25" customHeight="1" x14ac:dyDescent="0.3">
      <c r="M881" s="1"/>
      <c r="N881" s="31"/>
      <c r="O881" s="31"/>
      <c r="P881" s="31"/>
      <c r="Q881" s="32"/>
      <c r="R881" s="32"/>
      <c r="S881" s="31"/>
      <c r="T881" s="31"/>
      <c r="U881" s="33"/>
      <c r="V881" s="33"/>
      <c r="W881" s="2"/>
    </row>
    <row r="882" spans="13:23" ht="14.25" customHeight="1" x14ac:dyDescent="0.3">
      <c r="M882" s="1"/>
      <c r="N882" s="31"/>
      <c r="O882" s="31"/>
      <c r="P882" s="31"/>
      <c r="Q882" s="32"/>
      <c r="R882" s="32"/>
      <c r="S882" s="31"/>
      <c r="T882" s="31"/>
      <c r="U882" s="33"/>
      <c r="V882" s="33"/>
      <c r="W882" s="2"/>
    </row>
    <row r="883" spans="13:23" ht="14.25" customHeight="1" x14ac:dyDescent="0.3">
      <c r="M883" s="1"/>
      <c r="N883" s="31"/>
      <c r="O883" s="31"/>
      <c r="P883" s="31"/>
      <c r="Q883" s="32"/>
      <c r="R883" s="32"/>
      <c r="S883" s="31"/>
      <c r="T883" s="31"/>
      <c r="U883" s="33"/>
      <c r="V883" s="33"/>
      <c r="W883" s="2"/>
    </row>
    <row r="884" spans="13:23" ht="14.25" customHeight="1" x14ac:dyDescent="0.3">
      <c r="M884" s="1"/>
      <c r="N884" s="31"/>
      <c r="O884" s="31"/>
      <c r="P884" s="31"/>
      <c r="Q884" s="32"/>
      <c r="R884" s="32"/>
      <c r="S884" s="31"/>
      <c r="T884" s="31"/>
      <c r="U884" s="33"/>
      <c r="V884" s="33"/>
      <c r="W884" s="2"/>
    </row>
    <row r="885" spans="13:23" ht="14.25" customHeight="1" x14ac:dyDescent="0.3">
      <c r="M885" s="1"/>
      <c r="N885" s="31"/>
      <c r="O885" s="31"/>
      <c r="P885" s="31"/>
      <c r="Q885" s="32"/>
      <c r="R885" s="32"/>
      <c r="S885" s="31"/>
      <c r="T885" s="31"/>
      <c r="U885" s="33"/>
      <c r="V885" s="33"/>
      <c r="W885" s="2"/>
    </row>
    <row r="886" spans="13:23" ht="14.25" customHeight="1" x14ac:dyDescent="0.3">
      <c r="M886" s="1"/>
      <c r="N886" s="31"/>
      <c r="O886" s="31"/>
      <c r="P886" s="31"/>
      <c r="Q886" s="32"/>
      <c r="R886" s="32"/>
      <c r="S886" s="31"/>
      <c r="T886" s="31"/>
      <c r="U886" s="33"/>
      <c r="V886" s="33"/>
      <c r="W886" s="2"/>
    </row>
    <row r="887" spans="13:23" ht="14.25" customHeight="1" x14ac:dyDescent="0.3">
      <c r="M887" s="1"/>
      <c r="N887" s="31"/>
      <c r="O887" s="31"/>
      <c r="P887" s="31"/>
      <c r="Q887" s="32"/>
      <c r="R887" s="32"/>
      <c r="S887" s="31"/>
      <c r="T887" s="31"/>
      <c r="U887" s="33"/>
      <c r="V887" s="33"/>
      <c r="W887" s="2"/>
    </row>
    <row r="888" spans="13:23" ht="14.25" customHeight="1" x14ac:dyDescent="0.3">
      <c r="M888" s="1"/>
      <c r="N888" s="31"/>
      <c r="O888" s="31"/>
      <c r="P888" s="31"/>
      <c r="Q888" s="32"/>
      <c r="R888" s="32"/>
      <c r="S888" s="31"/>
      <c r="T888" s="31"/>
      <c r="U888" s="33"/>
      <c r="V888" s="33"/>
      <c r="W888" s="2"/>
    </row>
    <row r="889" spans="13:23" ht="14.25" customHeight="1" x14ac:dyDescent="0.3">
      <c r="M889" s="1"/>
      <c r="N889" s="31"/>
      <c r="O889" s="31"/>
      <c r="P889" s="31"/>
      <c r="Q889" s="32"/>
      <c r="R889" s="32"/>
      <c r="S889" s="31"/>
      <c r="T889" s="31"/>
      <c r="U889" s="33"/>
      <c r="V889" s="33"/>
      <c r="W889" s="2"/>
    </row>
    <row r="890" spans="13:23" ht="14.25" customHeight="1" x14ac:dyDescent="0.3">
      <c r="M890" s="1"/>
      <c r="N890" s="31"/>
      <c r="O890" s="31"/>
      <c r="P890" s="31"/>
      <c r="Q890" s="32"/>
      <c r="R890" s="32"/>
      <c r="S890" s="31"/>
      <c r="T890" s="31"/>
      <c r="U890" s="33"/>
      <c r="V890" s="33"/>
      <c r="W890" s="2"/>
    </row>
    <row r="891" spans="13:23" ht="14.25" customHeight="1" x14ac:dyDescent="0.3">
      <c r="M891" s="1"/>
      <c r="N891" s="31"/>
      <c r="O891" s="31"/>
      <c r="P891" s="31"/>
      <c r="Q891" s="32"/>
      <c r="R891" s="32"/>
      <c r="S891" s="31"/>
      <c r="T891" s="31"/>
      <c r="U891" s="33"/>
      <c r="V891" s="33"/>
      <c r="W891" s="2"/>
    </row>
    <row r="892" spans="13:23" ht="14.25" customHeight="1" x14ac:dyDescent="0.3">
      <c r="M892" s="1"/>
      <c r="N892" s="31"/>
      <c r="O892" s="31"/>
      <c r="P892" s="31"/>
      <c r="Q892" s="32"/>
      <c r="R892" s="32"/>
      <c r="S892" s="31"/>
      <c r="T892" s="31"/>
      <c r="U892" s="33"/>
      <c r="V892" s="33"/>
      <c r="W892" s="2"/>
    </row>
    <row r="893" spans="13:23" ht="14.25" customHeight="1" x14ac:dyDescent="0.3">
      <c r="M893" s="1"/>
      <c r="N893" s="31"/>
      <c r="O893" s="31"/>
      <c r="P893" s="31"/>
      <c r="Q893" s="32"/>
      <c r="R893" s="32"/>
      <c r="S893" s="31"/>
      <c r="T893" s="31"/>
      <c r="U893" s="33"/>
      <c r="V893" s="33"/>
      <c r="W893" s="2"/>
    </row>
    <row r="894" spans="13:23" ht="14.25" customHeight="1" x14ac:dyDescent="0.3">
      <c r="M894" s="1"/>
      <c r="N894" s="31"/>
      <c r="O894" s="31"/>
      <c r="P894" s="31"/>
      <c r="Q894" s="32"/>
      <c r="R894" s="32"/>
      <c r="S894" s="31"/>
      <c r="T894" s="31"/>
      <c r="U894" s="33"/>
      <c r="V894" s="33"/>
      <c r="W894" s="2"/>
    </row>
    <row r="895" spans="13:23" ht="14.25" customHeight="1" x14ac:dyDescent="0.3">
      <c r="M895" s="1"/>
      <c r="N895" s="31"/>
      <c r="O895" s="31"/>
      <c r="P895" s="31"/>
      <c r="Q895" s="32"/>
      <c r="R895" s="32"/>
      <c r="S895" s="31"/>
      <c r="T895" s="31"/>
      <c r="U895" s="33"/>
      <c r="V895" s="33"/>
      <c r="W895" s="2"/>
    </row>
    <row r="896" spans="13:23" ht="14.25" customHeight="1" x14ac:dyDescent="0.3">
      <c r="M896" s="1"/>
      <c r="N896" s="31"/>
      <c r="O896" s="31"/>
      <c r="P896" s="31"/>
      <c r="Q896" s="32"/>
      <c r="R896" s="32"/>
      <c r="S896" s="31"/>
      <c r="T896" s="31"/>
      <c r="U896" s="33"/>
      <c r="V896" s="33"/>
      <c r="W896" s="2"/>
    </row>
    <row r="897" spans="13:23" ht="14.25" customHeight="1" x14ac:dyDescent="0.3">
      <c r="M897" s="1"/>
      <c r="N897" s="31"/>
      <c r="O897" s="31"/>
      <c r="P897" s="31"/>
      <c r="Q897" s="32"/>
      <c r="R897" s="32"/>
      <c r="S897" s="31"/>
      <c r="T897" s="31"/>
      <c r="U897" s="33"/>
      <c r="V897" s="33"/>
      <c r="W897" s="2"/>
    </row>
    <row r="898" spans="13:23" ht="14.25" customHeight="1" x14ac:dyDescent="0.3">
      <c r="M898" s="1"/>
      <c r="N898" s="31"/>
      <c r="O898" s="31"/>
      <c r="P898" s="31"/>
      <c r="Q898" s="32"/>
      <c r="R898" s="32"/>
      <c r="S898" s="31"/>
      <c r="T898" s="31"/>
      <c r="U898" s="33"/>
      <c r="V898" s="33"/>
      <c r="W898" s="2"/>
    </row>
    <row r="899" spans="13:23" ht="14.25" customHeight="1" x14ac:dyDescent="0.3">
      <c r="M899" s="1"/>
      <c r="N899" s="31"/>
      <c r="O899" s="31"/>
      <c r="P899" s="31"/>
      <c r="Q899" s="32"/>
      <c r="R899" s="32"/>
      <c r="S899" s="31"/>
      <c r="T899" s="31"/>
      <c r="U899" s="33"/>
      <c r="V899" s="33"/>
      <c r="W899" s="2"/>
    </row>
    <row r="900" spans="13:23" ht="14.25" customHeight="1" x14ac:dyDescent="0.3">
      <c r="M900" s="1"/>
      <c r="N900" s="31"/>
      <c r="O900" s="31"/>
      <c r="P900" s="31"/>
      <c r="Q900" s="32"/>
      <c r="R900" s="32"/>
      <c r="S900" s="31"/>
      <c r="T900" s="31"/>
      <c r="U900" s="33"/>
      <c r="V900" s="33"/>
      <c r="W900" s="2"/>
    </row>
    <row r="901" spans="13:23" ht="14.25" customHeight="1" x14ac:dyDescent="0.3">
      <c r="M901" s="1"/>
      <c r="N901" s="31"/>
      <c r="O901" s="31"/>
      <c r="P901" s="31"/>
      <c r="Q901" s="32"/>
      <c r="R901" s="32"/>
      <c r="S901" s="31"/>
      <c r="T901" s="31"/>
      <c r="U901" s="33"/>
      <c r="V901" s="33"/>
      <c r="W901" s="2"/>
    </row>
    <row r="902" spans="13:23" ht="14.25" customHeight="1" x14ac:dyDescent="0.3">
      <c r="M902" s="1"/>
      <c r="N902" s="31"/>
      <c r="O902" s="31"/>
      <c r="P902" s="31"/>
      <c r="Q902" s="32"/>
      <c r="R902" s="32"/>
      <c r="S902" s="31"/>
      <c r="T902" s="31"/>
      <c r="U902" s="33"/>
      <c r="V902" s="33"/>
      <c r="W902" s="2"/>
    </row>
    <row r="903" spans="13:23" ht="14.25" customHeight="1" x14ac:dyDescent="0.3">
      <c r="M903" s="1"/>
      <c r="N903" s="31"/>
      <c r="O903" s="31"/>
      <c r="P903" s="31"/>
      <c r="Q903" s="32"/>
      <c r="R903" s="32"/>
      <c r="S903" s="31"/>
      <c r="T903" s="31"/>
      <c r="U903" s="33"/>
      <c r="V903" s="33"/>
      <c r="W903" s="2"/>
    </row>
    <row r="904" spans="13:23" ht="14.25" customHeight="1" x14ac:dyDescent="0.3">
      <c r="M904" s="1"/>
      <c r="N904" s="31"/>
      <c r="O904" s="31"/>
      <c r="P904" s="31"/>
      <c r="Q904" s="32"/>
      <c r="R904" s="32"/>
      <c r="S904" s="31"/>
      <c r="T904" s="31"/>
      <c r="U904" s="33"/>
      <c r="V904" s="33"/>
      <c r="W904" s="2"/>
    </row>
    <row r="905" spans="13:23" ht="14.25" customHeight="1" x14ac:dyDescent="0.3">
      <c r="M905" s="1"/>
      <c r="N905" s="31"/>
      <c r="O905" s="31"/>
      <c r="P905" s="31"/>
      <c r="Q905" s="32"/>
      <c r="R905" s="32"/>
      <c r="S905" s="31"/>
      <c r="T905" s="31"/>
      <c r="U905" s="33"/>
      <c r="V905" s="33"/>
      <c r="W905" s="2"/>
    </row>
    <row r="906" spans="13:23" ht="14.25" customHeight="1" x14ac:dyDescent="0.3">
      <c r="M906" s="1"/>
      <c r="N906" s="31"/>
      <c r="O906" s="31"/>
      <c r="P906" s="31"/>
      <c r="Q906" s="32"/>
      <c r="R906" s="32"/>
      <c r="S906" s="31"/>
      <c r="T906" s="31"/>
      <c r="U906" s="33"/>
      <c r="V906" s="33"/>
      <c r="W906" s="2"/>
    </row>
    <row r="907" spans="13:23" ht="14.25" customHeight="1" x14ac:dyDescent="0.3">
      <c r="M907" s="1"/>
      <c r="N907" s="31"/>
      <c r="O907" s="31"/>
      <c r="P907" s="31"/>
      <c r="Q907" s="32"/>
      <c r="R907" s="32"/>
      <c r="S907" s="31"/>
      <c r="T907" s="31"/>
      <c r="U907" s="33"/>
      <c r="V907" s="33"/>
      <c r="W907" s="2"/>
    </row>
    <row r="908" spans="13:23" ht="14.25" customHeight="1" x14ac:dyDescent="0.3">
      <c r="M908" s="1"/>
      <c r="N908" s="31"/>
      <c r="O908" s="31"/>
      <c r="P908" s="31"/>
      <c r="Q908" s="32"/>
      <c r="R908" s="32"/>
      <c r="S908" s="31"/>
      <c r="T908" s="31"/>
      <c r="U908" s="33"/>
      <c r="V908" s="33"/>
      <c r="W908" s="2"/>
    </row>
    <row r="909" spans="13:23" ht="14.25" customHeight="1" x14ac:dyDescent="0.3">
      <c r="M909" s="1"/>
      <c r="N909" s="31"/>
      <c r="O909" s="31"/>
      <c r="P909" s="31"/>
      <c r="Q909" s="32"/>
      <c r="R909" s="32"/>
      <c r="S909" s="31"/>
      <c r="T909" s="31"/>
      <c r="U909" s="33"/>
      <c r="V909" s="33"/>
      <c r="W909" s="2"/>
    </row>
    <row r="910" spans="13:23" ht="14.25" customHeight="1" x14ac:dyDescent="0.3">
      <c r="M910" s="1"/>
      <c r="N910" s="31"/>
      <c r="O910" s="31"/>
      <c r="P910" s="31"/>
      <c r="Q910" s="32"/>
      <c r="R910" s="32"/>
      <c r="S910" s="31"/>
      <c r="T910" s="31"/>
      <c r="U910" s="33"/>
      <c r="V910" s="33"/>
      <c r="W910" s="2"/>
    </row>
    <row r="911" spans="13:23" ht="14.25" customHeight="1" x14ac:dyDescent="0.3">
      <c r="M911" s="1"/>
      <c r="N911" s="31"/>
      <c r="O911" s="31"/>
      <c r="P911" s="31"/>
      <c r="Q911" s="32"/>
      <c r="R911" s="32"/>
      <c r="S911" s="31"/>
      <c r="T911" s="31"/>
      <c r="U911" s="33"/>
      <c r="V911" s="33"/>
      <c r="W911" s="2"/>
    </row>
    <row r="912" spans="13:23" ht="14.25" customHeight="1" x14ac:dyDescent="0.3">
      <c r="M912" s="1"/>
      <c r="N912" s="31"/>
      <c r="O912" s="31"/>
      <c r="P912" s="31"/>
      <c r="Q912" s="32"/>
      <c r="R912" s="32"/>
      <c r="S912" s="31"/>
      <c r="T912" s="31"/>
      <c r="U912" s="33"/>
      <c r="V912" s="33"/>
      <c r="W912" s="2"/>
    </row>
    <row r="913" spans="13:23" ht="14.25" customHeight="1" x14ac:dyDescent="0.3">
      <c r="M913" s="1"/>
      <c r="N913" s="31"/>
      <c r="O913" s="31"/>
      <c r="P913" s="31"/>
      <c r="Q913" s="32"/>
      <c r="R913" s="32"/>
      <c r="S913" s="31"/>
      <c r="T913" s="31"/>
      <c r="U913" s="33"/>
      <c r="V913" s="33"/>
      <c r="W913" s="2"/>
    </row>
    <row r="914" spans="13:23" ht="14.25" customHeight="1" x14ac:dyDescent="0.3">
      <c r="M914" s="1"/>
      <c r="N914" s="31"/>
      <c r="O914" s="31"/>
      <c r="P914" s="31"/>
      <c r="Q914" s="32"/>
      <c r="R914" s="32"/>
      <c r="S914" s="31"/>
      <c r="T914" s="31"/>
      <c r="U914" s="33"/>
      <c r="V914" s="33"/>
      <c r="W914" s="2"/>
    </row>
    <row r="915" spans="13:23" ht="14.25" customHeight="1" x14ac:dyDescent="0.3">
      <c r="M915" s="1"/>
      <c r="N915" s="31"/>
      <c r="O915" s="31"/>
      <c r="P915" s="31"/>
      <c r="Q915" s="32"/>
      <c r="R915" s="32"/>
      <c r="S915" s="31"/>
      <c r="T915" s="31"/>
      <c r="U915" s="33"/>
      <c r="V915" s="33"/>
      <c r="W915" s="2"/>
    </row>
    <row r="916" spans="13:23" ht="14.25" customHeight="1" x14ac:dyDescent="0.3">
      <c r="M916" s="1"/>
      <c r="N916" s="31"/>
      <c r="O916" s="31"/>
      <c r="P916" s="31"/>
      <c r="Q916" s="32"/>
      <c r="R916" s="32"/>
      <c r="S916" s="31"/>
      <c r="T916" s="31"/>
      <c r="U916" s="33"/>
      <c r="V916" s="33"/>
      <c r="W916" s="2"/>
    </row>
    <row r="917" spans="13:23" ht="14.25" customHeight="1" x14ac:dyDescent="0.3">
      <c r="M917" s="1"/>
      <c r="N917" s="31"/>
      <c r="O917" s="31"/>
      <c r="P917" s="31"/>
      <c r="Q917" s="32"/>
      <c r="R917" s="32"/>
      <c r="S917" s="31"/>
      <c r="T917" s="31"/>
      <c r="U917" s="33"/>
      <c r="V917" s="33"/>
      <c r="W917" s="2"/>
    </row>
    <row r="918" spans="13:23" ht="14.25" customHeight="1" x14ac:dyDescent="0.3">
      <c r="M918" s="1"/>
      <c r="N918" s="31"/>
      <c r="O918" s="31"/>
      <c r="P918" s="31"/>
      <c r="Q918" s="32"/>
      <c r="R918" s="32"/>
      <c r="S918" s="31"/>
      <c r="T918" s="31"/>
      <c r="U918" s="33"/>
      <c r="V918" s="33"/>
      <c r="W918" s="2"/>
    </row>
    <row r="919" spans="13:23" ht="14.25" customHeight="1" x14ac:dyDescent="0.3">
      <c r="M919" s="1"/>
      <c r="N919" s="31"/>
      <c r="O919" s="31"/>
      <c r="P919" s="31"/>
      <c r="Q919" s="32"/>
      <c r="R919" s="32"/>
      <c r="S919" s="31"/>
      <c r="T919" s="31"/>
      <c r="U919" s="33"/>
      <c r="V919" s="33"/>
      <c r="W919" s="2"/>
    </row>
    <row r="920" spans="13:23" ht="14.25" customHeight="1" x14ac:dyDescent="0.3">
      <c r="M920" s="1"/>
      <c r="N920" s="31"/>
      <c r="O920" s="31"/>
      <c r="P920" s="31"/>
      <c r="Q920" s="32"/>
      <c r="R920" s="32"/>
      <c r="S920" s="31"/>
      <c r="T920" s="31"/>
      <c r="U920" s="33"/>
      <c r="V920" s="33"/>
      <c r="W920" s="2"/>
    </row>
    <row r="921" spans="13:23" ht="14.25" customHeight="1" x14ac:dyDescent="0.3">
      <c r="M921" s="1"/>
      <c r="N921" s="31"/>
      <c r="O921" s="31"/>
      <c r="P921" s="31"/>
      <c r="Q921" s="32"/>
      <c r="R921" s="32"/>
      <c r="S921" s="31"/>
      <c r="T921" s="31"/>
      <c r="U921" s="33"/>
      <c r="V921" s="33"/>
      <c r="W921" s="2"/>
    </row>
    <row r="922" spans="13:23" ht="14.25" customHeight="1" x14ac:dyDescent="0.3">
      <c r="M922" s="1"/>
      <c r="N922" s="31"/>
      <c r="O922" s="31"/>
      <c r="P922" s="31"/>
      <c r="Q922" s="32"/>
      <c r="R922" s="32"/>
      <c r="S922" s="31"/>
      <c r="T922" s="31"/>
      <c r="U922" s="33"/>
      <c r="V922" s="33"/>
      <c r="W922" s="2"/>
    </row>
    <row r="923" spans="13:23" ht="14.25" customHeight="1" x14ac:dyDescent="0.3">
      <c r="M923" s="1"/>
      <c r="N923" s="31"/>
      <c r="O923" s="31"/>
      <c r="P923" s="31"/>
      <c r="Q923" s="32"/>
      <c r="R923" s="32"/>
      <c r="S923" s="31"/>
      <c r="T923" s="31"/>
      <c r="U923" s="33"/>
      <c r="V923" s="33"/>
      <c r="W923" s="2"/>
    </row>
    <row r="924" spans="13:23" ht="14.25" customHeight="1" x14ac:dyDescent="0.3">
      <c r="M924" s="1"/>
      <c r="N924" s="31"/>
      <c r="O924" s="31"/>
      <c r="P924" s="31"/>
      <c r="Q924" s="32"/>
      <c r="R924" s="32"/>
      <c r="S924" s="31"/>
      <c r="T924" s="31"/>
      <c r="U924" s="33"/>
      <c r="V924" s="33"/>
      <c r="W924" s="2"/>
    </row>
    <row r="925" spans="13:23" ht="14.25" customHeight="1" x14ac:dyDescent="0.3">
      <c r="M925" s="1"/>
      <c r="N925" s="31"/>
      <c r="O925" s="31"/>
      <c r="P925" s="31"/>
      <c r="Q925" s="32"/>
      <c r="R925" s="32"/>
      <c r="S925" s="31"/>
      <c r="T925" s="31"/>
      <c r="U925" s="33"/>
      <c r="V925" s="33"/>
      <c r="W925" s="2"/>
    </row>
    <row r="926" spans="13:23" ht="14.25" customHeight="1" x14ac:dyDescent="0.3">
      <c r="M926" s="1"/>
      <c r="N926" s="31"/>
      <c r="O926" s="31"/>
      <c r="P926" s="31"/>
      <c r="Q926" s="32"/>
      <c r="R926" s="32"/>
      <c r="S926" s="31"/>
      <c r="T926" s="31"/>
      <c r="U926" s="33"/>
      <c r="V926" s="33"/>
      <c r="W926" s="2"/>
    </row>
    <row r="927" spans="13:23" ht="14.25" customHeight="1" x14ac:dyDescent="0.3">
      <c r="M927" s="1"/>
      <c r="N927" s="31"/>
      <c r="O927" s="31"/>
      <c r="P927" s="31"/>
      <c r="Q927" s="32"/>
      <c r="R927" s="32"/>
      <c r="S927" s="31"/>
      <c r="T927" s="31"/>
      <c r="U927" s="33"/>
      <c r="V927" s="33"/>
      <c r="W927" s="2"/>
    </row>
    <row r="928" spans="13:23" ht="14.25" customHeight="1" x14ac:dyDescent="0.3">
      <c r="M928" s="1"/>
      <c r="N928" s="31"/>
      <c r="O928" s="31"/>
      <c r="P928" s="31"/>
      <c r="Q928" s="32"/>
      <c r="R928" s="32"/>
      <c r="S928" s="31"/>
      <c r="T928" s="31"/>
      <c r="U928" s="33"/>
      <c r="V928" s="33"/>
      <c r="W928" s="2"/>
    </row>
    <row r="929" spans="13:23" ht="14.25" customHeight="1" x14ac:dyDescent="0.3">
      <c r="M929" s="1"/>
      <c r="N929" s="31"/>
      <c r="O929" s="31"/>
      <c r="P929" s="31"/>
      <c r="Q929" s="32"/>
      <c r="R929" s="32"/>
      <c r="S929" s="31"/>
      <c r="T929" s="31"/>
      <c r="U929" s="33"/>
      <c r="V929" s="33"/>
      <c r="W929" s="2"/>
    </row>
    <row r="930" spans="13:23" ht="14.25" customHeight="1" x14ac:dyDescent="0.3">
      <c r="M930" s="1"/>
      <c r="N930" s="31"/>
      <c r="O930" s="31"/>
      <c r="P930" s="31"/>
      <c r="Q930" s="32"/>
      <c r="R930" s="32"/>
      <c r="S930" s="31"/>
      <c r="T930" s="31"/>
      <c r="U930" s="33"/>
      <c r="V930" s="33"/>
      <c r="W930" s="2"/>
    </row>
    <row r="931" spans="13:23" ht="14.25" customHeight="1" x14ac:dyDescent="0.3">
      <c r="M931" s="1"/>
      <c r="N931" s="31"/>
      <c r="O931" s="31"/>
      <c r="P931" s="31"/>
      <c r="Q931" s="32"/>
      <c r="R931" s="32"/>
      <c r="S931" s="31"/>
      <c r="T931" s="31"/>
      <c r="U931" s="33"/>
      <c r="V931" s="33"/>
      <c r="W931" s="2"/>
    </row>
    <row r="932" spans="13:23" ht="14.25" customHeight="1" x14ac:dyDescent="0.3">
      <c r="M932" s="1"/>
      <c r="N932" s="31"/>
      <c r="O932" s="31"/>
      <c r="P932" s="31"/>
      <c r="Q932" s="32"/>
      <c r="R932" s="32"/>
      <c r="S932" s="31"/>
      <c r="T932" s="31"/>
      <c r="U932" s="33"/>
      <c r="V932" s="33"/>
      <c r="W932" s="2"/>
    </row>
    <row r="933" spans="13:23" ht="14.25" customHeight="1" x14ac:dyDescent="0.3">
      <c r="M933" s="1"/>
      <c r="N933" s="31"/>
      <c r="O933" s="31"/>
      <c r="P933" s="31"/>
      <c r="Q933" s="32"/>
      <c r="R933" s="32"/>
      <c r="S933" s="31"/>
      <c r="T933" s="31"/>
      <c r="U933" s="33"/>
      <c r="V933" s="33"/>
      <c r="W933" s="2"/>
    </row>
    <row r="934" spans="13:23" ht="14.25" customHeight="1" x14ac:dyDescent="0.3">
      <c r="M934" s="1"/>
      <c r="N934" s="31"/>
      <c r="O934" s="31"/>
      <c r="P934" s="31"/>
      <c r="Q934" s="32"/>
      <c r="R934" s="32"/>
      <c r="S934" s="31"/>
      <c r="T934" s="31"/>
      <c r="U934" s="33"/>
      <c r="V934" s="33"/>
      <c r="W934" s="2"/>
    </row>
    <row r="935" spans="13:23" ht="14.25" customHeight="1" x14ac:dyDescent="0.3">
      <c r="M935" s="1"/>
      <c r="N935" s="31"/>
      <c r="O935" s="31"/>
      <c r="P935" s="31"/>
      <c r="Q935" s="32"/>
      <c r="R935" s="32"/>
      <c r="S935" s="31"/>
      <c r="T935" s="31"/>
      <c r="U935" s="33"/>
      <c r="V935" s="33"/>
      <c r="W935" s="2"/>
    </row>
    <row r="936" spans="13:23" ht="14.25" customHeight="1" x14ac:dyDescent="0.3">
      <c r="M936" s="1"/>
      <c r="N936" s="31"/>
      <c r="O936" s="31"/>
      <c r="P936" s="31"/>
      <c r="Q936" s="32"/>
      <c r="R936" s="32"/>
      <c r="S936" s="31"/>
      <c r="T936" s="31"/>
      <c r="U936" s="33"/>
      <c r="V936" s="33"/>
      <c r="W936" s="2"/>
    </row>
    <row r="937" spans="13:23" ht="14.25" customHeight="1" x14ac:dyDescent="0.3">
      <c r="M937" s="1"/>
      <c r="N937" s="31"/>
      <c r="O937" s="31"/>
      <c r="P937" s="31"/>
      <c r="Q937" s="32"/>
      <c r="R937" s="32"/>
      <c r="S937" s="31"/>
      <c r="T937" s="31"/>
      <c r="U937" s="33"/>
      <c r="V937" s="33"/>
      <c r="W937" s="2"/>
    </row>
    <row r="938" spans="13:23" ht="14.25" customHeight="1" x14ac:dyDescent="0.3">
      <c r="M938" s="1"/>
      <c r="N938" s="31"/>
      <c r="O938" s="31"/>
      <c r="P938" s="31"/>
      <c r="Q938" s="32"/>
      <c r="R938" s="32"/>
      <c r="S938" s="31"/>
      <c r="T938" s="31"/>
      <c r="U938" s="33"/>
      <c r="V938" s="33"/>
      <c r="W938" s="2"/>
    </row>
    <row r="939" spans="13:23" ht="14.25" customHeight="1" x14ac:dyDescent="0.3">
      <c r="M939" s="1"/>
      <c r="N939" s="31"/>
      <c r="O939" s="31"/>
      <c r="P939" s="31"/>
      <c r="Q939" s="32"/>
      <c r="R939" s="32"/>
      <c r="S939" s="31"/>
      <c r="T939" s="31"/>
      <c r="U939" s="33"/>
      <c r="V939" s="33"/>
      <c r="W939" s="2"/>
    </row>
    <row r="940" spans="13:23" ht="14.25" customHeight="1" x14ac:dyDescent="0.3">
      <c r="M940" s="1"/>
      <c r="N940" s="31"/>
      <c r="O940" s="31"/>
      <c r="P940" s="31"/>
      <c r="Q940" s="32"/>
      <c r="R940" s="32"/>
      <c r="S940" s="31"/>
      <c r="T940" s="31"/>
      <c r="U940" s="33"/>
      <c r="V940" s="33"/>
      <c r="W940" s="2"/>
    </row>
    <row r="941" spans="13:23" ht="14.25" customHeight="1" x14ac:dyDescent="0.3">
      <c r="M941" s="1"/>
      <c r="N941" s="31"/>
      <c r="O941" s="31"/>
      <c r="P941" s="31"/>
      <c r="Q941" s="32"/>
      <c r="R941" s="32"/>
      <c r="S941" s="31"/>
      <c r="T941" s="31"/>
      <c r="U941" s="33"/>
      <c r="V941" s="33"/>
      <c r="W941" s="2"/>
    </row>
    <row r="942" spans="13:23" ht="14.25" customHeight="1" x14ac:dyDescent="0.3">
      <c r="M942" s="1"/>
      <c r="N942" s="31"/>
      <c r="O942" s="31"/>
      <c r="P942" s="31"/>
      <c r="Q942" s="32"/>
      <c r="R942" s="32"/>
      <c r="S942" s="31"/>
      <c r="T942" s="31"/>
      <c r="U942" s="33"/>
      <c r="V942" s="33"/>
      <c r="W942" s="2"/>
    </row>
    <row r="943" spans="13:23" ht="14.25" customHeight="1" x14ac:dyDescent="0.3">
      <c r="M943" s="1"/>
      <c r="N943" s="31"/>
      <c r="O943" s="31"/>
      <c r="P943" s="31"/>
      <c r="Q943" s="32"/>
      <c r="R943" s="32"/>
      <c r="S943" s="31"/>
      <c r="T943" s="31"/>
      <c r="U943" s="33"/>
      <c r="V943" s="33"/>
      <c r="W943" s="2"/>
    </row>
    <row r="944" spans="13:23" ht="14.25" customHeight="1" x14ac:dyDescent="0.3">
      <c r="M944" s="1"/>
      <c r="N944" s="31"/>
      <c r="O944" s="31"/>
      <c r="P944" s="31"/>
      <c r="Q944" s="32"/>
      <c r="R944" s="32"/>
      <c r="S944" s="31"/>
      <c r="T944" s="31"/>
      <c r="U944" s="33"/>
      <c r="V944" s="33"/>
      <c r="W944" s="2"/>
    </row>
    <row r="945" spans="13:23" ht="14.25" customHeight="1" x14ac:dyDescent="0.3">
      <c r="M945" s="1"/>
      <c r="N945" s="31"/>
      <c r="O945" s="31"/>
      <c r="P945" s="31"/>
      <c r="Q945" s="32"/>
      <c r="R945" s="32"/>
      <c r="S945" s="31"/>
      <c r="T945" s="31"/>
      <c r="U945" s="33"/>
      <c r="V945" s="33"/>
      <c r="W945" s="2"/>
    </row>
    <row r="946" spans="13:23" ht="14.25" customHeight="1" x14ac:dyDescent="0.3">
      <c r="M946" s="1"/>
      <c r="N946" s="31"/>
      <c r="O946" s="31"/>
      <c r="P946" s="31"/>
      <c r="Q946" s="32"/>
      <c r="R946" s="32"/>
      <c r="S946" s="31"/>
      <c r="T946" s="31"/>
      <c r="U946" s="33"/>
      <c r="V946" s="33"/>
      <c r="W946" s="2"/>
    </row>
    <row r="947" spans="13:23" ht="14.25" customHeight="1" x14ac:dyDescent="0.3">
      <c r="M947" s="1"/>
      <c r="N947" s="31"/>
      <c r="O947" s="31"/>
      <c r="P947" s="31"/>
      <c r="Q947" s="32"/>
      <c r="R947" s="32"/>
      <c r="S947" s="31"/>
      <c r="T947" s="31"/>
      <c r="U947" s="33"/>
      <c r="V947" s="33"/>
      <c r="W947" s="2"/>
    </row>
    <row r="948" spans="13:23" ht="14.25" customHeight="1" x14ac:dyDescent="0.3">
      <c r="M948" s="1"/>
      <c r="N948" s="31"/>
      <c r="O948" s="31"/>
      <c r="P948" s="31"/>
      <c r="Q948" s="32"/>
      <c r="R948" s="32"/>
      <c r="S948" s="31"/>
      <c r="T948" s="31"/>
      <c r="U948" s="33"/>
      <c r="V948" s="33"/>
      <c r="W948" s="2"/>
    </row>
    <row r="949" spans="13:23" ht="14.25" customHeight="1" x14ac:dyDescent="0.3">
      <c r="M949" s="1"/>
      <c r="N949" s="31"/>
      <c r="O949" s="31"/>
      <c r="P949" s="31"/>
      <c r="Q949" s="32"/>
      <c r="R949" s="32"/>
      <c r="S949" s="31"/>
      <c r="T949" s="31"/>
      <c r="U949" s="33"/>
      <c r="V949" s="33"/>
      <c r="W949" s="2"/>
    </row>
    <row r="950" spans="13:23" ht="14.25" customHeight="1" x14ac:dyDescent="0.3">
      <c r="M950" s="1"/>
      <c r="N950" s="31"/>
      <c r="O950" s="31"/>
      <c r="P950" s="31"/>
      <c r="Q950" s="32"/>
      <c r="R950" s="32"/>
      <c r="S950" s="31"/>
      <c r="T950" s="31"/>
      <c r="U950" s="33"/>
      <c r="V950" s="33"/>
      <c r="W950" s="2"/>
    </row>
    <row r="951" spans="13:23" ht="14.25" customHeight="1" x14ac:dyDescent="0.3">
      <c r="M951" s="1"/>
      <c r="N951" s="31"/>
      <c r="O951" s="31"/>
      <c r="P951" s="31"/>
      <c r="Q951" s="32"/>
      <c r="R951" s="32"/>
      <c r="S951" s="31"/>
      <c r="T951" s="31"/>
      <c r="U951" s="33"/>
      <c r="V951" s="33"/>
      <c r="W951" s="2"/>
    </row>
    <row r="952" spans="13:23" ht="14.25" customHeight="1" x14ac:dyDescent="0.3">
      <c r="M952" s="1"/>
      <c r="N952" s="31"/>
      <c r="O952" s="31"/>
      <c r="P952" s="31"/>
      <c r="Q952" s="32"/>
      <c r="R952" s="32"/>
      <c r="S952" s="31"/>
      <c r="T952" s="31"/>
      <c r="U952" s="33"/>
      <c r="V952" s="33"/>
      <c r="W952" s="2"/>
    </row>
    <row r="953" spans="13:23" ht="14.25" customHeight="1" x14ac:dyDescent="0.3">
      <c r="M953" s="1"/>
      <c r="N953" s="31"/>
      <c r="O953" s="31"/>
      <c r="P953" s="31"/>
      <c r="Q953" s="32"/>
      <c r="R953" s="32"/>
      <c r="S953" s="31"/>
      <c r="T953" s="31"/>
      <c r="U953" s="33"/>
      <c r="V953" s="33"/>
      <c r="W953" s="2"/>
    </row>
    <row r="954" spans="13:23" ht="14.25" customHeight="1" x14ac:dyDescent="0.3">
      <c r="M954" s="1"/>
      <c r="N954" s="31"/>
      <c r="O954" s="31"/>
      <c r="P954" s="31"/>
      <c r="Q954" s="32"/>
      <c r="R954" s="32"/>
      <c r="S954" s="31"/>
      <c r="T954" s="31"/>
      <c r="U954" s="33"/>
      <c r="V954" s="33"/>
      <c r="W954" s="2"/>
    </row>
    <row r="955" spans="13:23" ht="14.25" customHeight="1" x14ac:dyDescent="0.3">
      <c r="M955" s="1"/>
      <c r="N955" s="31"/>
      <c r="O955" s="31"/>
      <c r="P955" s="31"/>
      <c r="Q955" s="32"/>
      <c r="R955" s="32"/>
      <c r="S955" s="31"/>
      <c r="T955" s="31"/>
      <c r="U955" s="33"/>
      <c r="V955" s="33"/>
      <c r="W955" s="2"/>
    </row>
    <row r="956" spans="13:23" ht="14.25" customHeight="1" x14ac:dyDescent="0.3">
      <c r="M956" s="1"/>
      <c r="N956" s="31"/>
      <c r="O956" s="31"/>
      <c r="P956" s="31"/>
      <c r="Q956" s="32"/>
      <c r="R956" s="32"/>
      <c r="S956" s="31"/>
      <c r="T956" s="31"/>
      <c r="U956" s="33"/>
      <c r="V956" s="33"/>
      <c r="W956" s="2"/>
    </row>
    <row r="957" spans="13:23" ht="14.25" customHeight="1" x14ac:dyDescent="0.3">
      <c r="M957" s="1"/>
      <c r="N957" s="31"/>
      <c r="O957" s="31"/>
      <c r="P957" s="31"/>
      <c r="Q957" s="32"/>
      <c r="R957" s="32"/>
      <c r="S957" s="31"/>
      <c r="T957" s="31"/>
      <c r="U957" s="33"/>
      <c r="V957" s="33"/>
      <c r="W957" s="2"/>
    </row>
    <row r="958" spans="13:23" ht="14.25" customHeight="1" x14ac:dyDescent="0.3">
      <c r="M958" s="1"/>
      <c r="N958" s="31"/>
      <c r="O958" s="31"/>
      <c r="P958" s="31"/>
      <c r="Q958" s="32"/>
      <c r="R958" s="32"/>
      <c r="S958" s="31"/>
      <c r="T958" s="31"/>
      <c r="U958" s="33"/>
      <c r="V958" s="33"/>
      <c r="W958" s="2"/>
    </row>
    <row r="959" spans="13:23" ht="14.25" customHeight="1" x14ac:dyDescent="0.3">
      <c r="M959" s="1"/>
      <c r="N959" s="31"/>
      <c r="O959" s="31"/>
      <c r="P959" s="31"/>
      <c r="Q959" s="32"/>
      <c r="R959" s="32"/>
      <c r="S959" s="31"/>
      <c r="T959" s="31"/>
      <c r="U959" s="33"/>
      <c r="V959" s="33"/>
      <c r="W959" s="2"/>
    </row>
    <row r="960" spans="13:23" ht="14.25" customHeight="1" x14ac:dyDescent="0.3">
      <c r="M960" s="1"/>
      <c r="N960" s="31"/>
      <c r="O960" s="31"/>
      <c r="P960" s="31"/>
      <c r="Q960" s="32"/>
      <c r="R960" s="32"/>
      <c r="S960" s="31"/>
      <c r="T960" s="31"/>
      <c r="U960" s="33"/>
      <c r="V960" s="33"/>
      <c r="W960" s="2"/>
    </row>
    <row r="961" spans="13:23" ht="14.25" customHeight="1" x14ac:dyDescent="0.3">
      <c r="M961" s="1"/>
      <c r="N961" s="31"/>
      <c r="O961" s="31"/>
      <c r="P961" s="31"/>
      <c r="Q961" s="32"/>
      <c r="R961" s="32"/>
      <c r="S961" s="31"/>
      <c r="T961" s="31"/>
      <c r="U961" s="33"/>
      <c r="V961" s="33"/>
      <c r="W961" s="2"/>
    </row>
    <row r="962" spans="13:23" ht="14.25" customHeight="1" x14ac:dyDescent="0.3">
      <c r="M962" s="1"/>
      <c r="N962" s="31"/>
      <c r="O962" s="31"/>
      <c r="P962" s="31"/>
      <c r="Q962" s="32"/>
      <c r="R962" s="32"/>
      <c r="S962" s="31"/>
      <c r="T962" s="31"/>
      <c r="U962" s="33"/>
      <c r="V962" s="33"/>
      <c r="W962" s="2"/>
    </row>
    <row r="963" spans="13:23" ht="14.25" customHeight="1" x14ac:dyDescent="0.3">
      <c r="M963" s="1"/>
      <c r="N963" s="31"/>
      <c r="O963" s="31"/>
      <c r="P963" s="31"/>
      <c r="Q963" s="32"/>
      <c r="R963" s="32"/>
      <c r="S963" s="31"/>
      <c r="T963" s="31"/>
      <c r="U963" s="33"/>
      <c r="V963" s="33"/>
      <c r="W963" s="2"/>
    </row>
    <row r="964" spans="13:23" ht="14.25" customHeight="1" x14ac:dyDescent="0.3">
      <c r="M964" s="1"/>
      <c r="N964" s="31"/>
      <c r="O964" s="31"/>
      <c r="P964" s="31"/>
      <c r="Q964" s="32"/>
      <c r="R964" s="32"/>
      <c r="S964" s="31"/>
      <c r="T964" s="31"/>
      <c r="U964" s="33"/>
      <c r="V964" s="33"/>
      <c r="W964" s="2"/>
    </row>
    <row r="965" spans="13:23" ht="14.25" customHeight="1" x14ac:dyDescent="0.3">
      <c r="M965" s="1"/>
      <c r="N965" s="31"/>
      <c r="O965" s="31"/>
      <c r="P965" s="31"/>
      <c r="Q965" s="32"/>
      <c r="R965" s="32"/>
      <c r="S965" s="31"/>
      <c r="T965" s="31"/>
      <c r="U965" s="33"/>
      <c r="V965" s="33"/>
      <c r="W965" s="2"/>
    </row>
    <row r="966" spans="13:23" ht="14.25" customHeight="1" x14ac:dyDescent="0.3">
      <c r="M966" s="1"/>
      <c r="N966" s="31"/>
      <c r="O966" s="31"/>
      <c r="P966" s="31"/>
      <c r="Q966" s="32"/>
      <c r="R966" s="32"/>
      <c r="S966" s="31"/>
      <c r="T966" s="31"/>
      <c r="U966" s="33"/>
      <c r="V966" s="33"/>
      <c r="W966" s="2"/>
    </row>
    <row r="967" spans="13:23" ht="14.25" customHeight="1" x14ac:dyDescent="0.3">
      <c r="M967" s="1"/>
      <c r="N967" s="31"/>
      <c r="O967" s="31"/>
      <c r="P967" s="31"/>
      <c r="Q967" s="32"/>
      <c r="R967" s="32"/>
      <c r="S967" s="31"/>
      <c r="T967" s="31"/>
      <c r="U967" s="33"/>
      <c r="V967" s="33"/>
      <c r="W967" s="2"/>
    </row>
    <row r="968" spans="13:23" ht="14.25" customHeight="1" x14ac:dyDescent="0.3">
      <c r="M968" s="1"/>
      <c r="N968" s="31"/>
      <c r="O968" s="31"/>
      <c r="P968" s="31"/>
      <c r="Q968" s="32"/>
      <c r="R968" s="32"/>
      <c r="S968" s="31"/>
      <c r="T968" s="31"/>
      <c r="U968" s="33"/>
      <c r="V968" s="33"/>
      <c r="W968" s="2"/>
    </row>
    <row r="969" spans="13:23" ht="14.25" customHeight="1" x14ac:dyDescent="0.3">
      <c r="M969" s="1"/>
      <c r="N969" s="31"/>
      <c r="O969" s="31"/>
      <c r="P969" s="31"/>
      <c r="Q969" s="32"/>
      <c r="R969" s="32"/>
      <c r="S969" s="31"/>
      <c r="T969" s="31"/>
      <c r="U969" s="33"/>
      <c r="V969" s="33"/>
      <c r="W969" s="2"/>
    </row>
    <row r="970" spans="13:23" ht="14.25" customHeight="1" x14ac:dyDescent="0.3">
      <c r="M970" s="1"/>
      <c r="N970" s="31"/>
      <c r="O970" s="31"/>
      <c r="P970" s="31"/>
      <c r="Q970" s="32"/>
      <c r="R970" s="32"/>
      <c r="S970" s="31"/>
      <c r="T970" s="31"/>
      <c r="U970" s="33"/>
      <c r="V970" s="33"/>
      <c r="W970" s="2"/>
    </row>
    <row r="971" spans="13:23" ht="14.25" customHeight="1" x14ac:dyDescent="0.3">
      <c r="M971" s="1"/>
      <c r="N971" s="31"/>
      <c r="O971" s="31"/>
      <c r="P971" s="31"/>
      <c r="Q971" s="32"/>
      <c r="R971" s="32"/>
      <c r="S971" s="31"/>
      <c r="T971" s="31"/>
      <c r="U971" s="33"/>
      <c r="V971" s="33"/>
      <c r="W971" s="2"/>
    </row>
    <row r="972" spans="13:23" ht="14.25" customHeight="1" x14ac:dyDescent="0.3">
      <c r="M972" s="1"/>
      <c r="N972" s="31"/>
      <c r="O972" s="31"/>
      <c r="P972" s="31"/>
      <c r="Q972" s="32"/>
      <c r="R972" s="32"/>
      <c r="S972" s="31"/>
      <c r="T972" s="31"/>
      <c r="U972" s="33"/>
      <c r="V972" s="33"/>
      <c r="W972" s="2"/>
    </row>
    <row r="973" spans="13:23" ht="14.25" customHeight="1" x14ac:dyDescent="0.3">
      <c r="M973" s="1"/>
      <c r="N973" s="31"/>
      <c r="O973" s="31"/>
      <c r="P973" s="31"/>
      <c r="Q973" s="32"/>
      <c r="R973" s="32"/>
      <c r="S973" s="31"/>
      <c r="T973" s="31"/>
      <c r="U973" s="33"/>
      <c r="V973" s="33"/>
      <c r="W973" s="2"/>
    </row>
    <row r="974" spans="13:23" ht="14.25" customHeight="1" x14ac:dyDescent="0.3">
      <c r="M974" s="1"/>
      <c r="N974" s="31"/>
      <c r="O974" s="31"/>
      <c r="P974" s="31"/>
      <c r="Q974" s="32"/>
      <c r="R974" s="32"/>
      <c r="S974" s="31"/>
      <c r="T974" s="31"/>
      <c r="U974" s="33"/>
      <c r="V974" s="33"/>
      <c r="W974" s="2"/>
    </row>
    <row r="975" spans="13:23" ht="14.25" customHeight="1" x14ac:dyDescent="0.3">
      <c r="M975" s="1"/>
      <c r="N975" s="31"/>
      <c r="O975" s="31"/>
      <c r="P975" s="31"/>
      <c r="Q975" s="32"/>
      <c r="R975" s="32"/>
      <c r="S975" s="31"/>
      <c r="T975" s="31"/>
      <c r="U975" s="33"/>
      <c r="V975" s="33"/>
      <c r="W975" s="2"/>
    </row>
    <row r="976" spans="13:23" ht="14.25" customHeight="1" x14ac:dyDescent="0.3">
      <c r="M976" s="1"/>
      <c r="N976" s="31"/>
      <c r="O976" s="31"/>
      <c r="P976" s="31"/>
      <c r="Q976" s="32"/>
      <c r="R976" s="32"/>
      <c r="S976" s="31"/>
      <c r="T976" s="31"/>
      <c r="U976" s="33"/>
      <c r="V976" s="33"/>
      <c r="W976" s="2"/>
    </row>
    <row r="977" spans="13:23" ht="14.25" customHeight="1" x14ac:dyDescent="0.3">
      <c r="M977" s="1"/>
      <c r="N977" s="31"/>
      <c r="O977" s="31"/>
      <c r="P977" s="31"/>
      <c r="Q977" s="32"/>
      <c r="R977" s="32"/>
      <c r="S977" s="31"/>
      <c r="T977" s="31"/>
      <c r="U977" s="33"/>
      <c r="V977" s="33"/>
      <c r="W977" s="2"/>
    </row>
    <row r="978" spans="13:23" ht="14.25" customHeight="1" x14ac:dyDescent="0.3">
      <c r="M978" s="1"/>
      <c r="N978" s="31"/>
      <c r="O978" s="31"/>
      <c r="P978" s="31"/>
      <c r="Q978" s="32"/>
      <c r="R978" s="32"/>
      <c r="S978" s="31"/>
      <c r="T978" s="31"/>
      <c r="U978" s="33"/>
      <c r="V978" s="33"/>
      <c r="W978" s="2"/>
    </row>
    <row r="979" spans="13:23" ht="14.25" customHeight="1" x14ac:dyDescent="0.3">
      <c r="M979" s="1"/>
      <c r="N979" s="31"/>
      <c r="O979" s="31"/>
      <c r="P979" s="31"/>
      <c r="Q979" s="32"/>
      <c r="R979" s="32"/>
      <c r="S979" s="31"/>
      <c r="T979" s="31"/>
      <c r="U979" s="33"/>
      <c r="V979" s="33"/>
      <c r="W979" s="2"/>
    </row>
    <row r="980" spans="13:23" ht="14.25" customHeight="1" x14ac:dyDescent="0.3">
      <c r="M980" s="1"/>
      <c r="N980" s="31"/>
      <c r="O980" s="31"/>
      <c r="P980" s="31"/>
      <c r="Q980" s="32"/>
      <c r="R980" s="32"/>
      <c r="S980" s="31"/>
      <c r="T980" s="31"/>
      <c r="U980" s="33"/>
      <c r="V980" s="33"/>
      <c r="W980" s="2"/>
    </row>
    <row r="981" spans="13:23" ht="14.25" customHeight="1" x14ac:dyDescent="0.3">
      <c r="M981" s="1"/>
      <c r="N981" s="31"/>
      <c r="O981" s="31"/>
      <c r="P981" s="31"/>
      <c r="Q981" s="32"/>
      <c r="R981" s="32"/>
      <c r="S981" s="31"/>
      <c r="T981" s="31"/>
      <c r="U981" s="33"/>
      <c r="V981" s="33"/>
      <c r="W981" s="2"/>
    </row>
    <row r="982" spans="13:23" ht="14.25" customHeight="1" x14ac:dyDescent="0.3">
      <c r="M982" s="1"/>
      <c r="N982" s="31"/>
      <c r="O982" s="31"/>
      <c r="P982" s="31"/>
      <c r="Q982" s="32"/>
      <c r="R982" s="32"/>
      <c r="S982" s="31"/>
      <c r="T982" s="31"/>
      <c r="U982" s="33"/>
      <c r="V982" s="33"/>
      <c r="W982" s="2"/>
    </row>
    <row r="983" spans="13:23" ht="14.25" customHeight="1" x14ac:dyDescent="0.3">
      <c r="M983" s="1"/>
      <c r="N983" s="31"/>
      <c r="O983" s="31"/>
      <c r="P983" s="31"/>
      <c r="Q983" s="32"/>
      <c r="R983" s="32"/>
      <c r="S983" s="31"/>
      <c r="T983" s="31"/>
      <c r="U983" s="33"/>
      <c r="V983" s="33"/>
      <c r="W983" s="2"/>
    </row>
    <row r="984" spans="13:23" ht="14.25" customHeight="1" x14ac:dyDescent="0.3">
      <c r="M984" s="1"/>
      <c r="N984" s="31"/>
      <c r="O984" s="31"/>
      <c r="P984" s="31"/>
      <c r="Q984" s="32"/>
      <c r="R984" s="32"/>
      <c r="S984" s="31"/>
      <c r="T984" s="31"/>
      <c r="U984" s="33"/>
      <c r="V984" s="33"/>
      <c r="W984" s="2"/>
    </row>
    <row r="985" spans="13:23" ht="14.25" customHeight="1" x14ac:dyDescent="0.3">
      <c r="M985" s="1"/>
      <c r="N985" s="31"/>
      <c r="O985" s="31"/>
      <c r="P985" s="31"/>
      <c r="Q985" s="32"/>
      <c r="R985" s="32"/>
      <c r="S985" s="31"/>
      <c r="T985" s="31"/>
      <c r="U985" s="33"/>
      <c r="V985" s="33"/>
      <c r="W985" s="2"/>
    </row>
    <row r="986" spans="13:23" ht="14.25" customHeight="1" x14ac:dyDescent="0.3">
      <c r="M986" s="1"/>
      <c r="N986" s="31"/>
      <c r="O986" s="31"/>
      <c r="P986" s="31"/>
      <c r="Q986" s="32"/>
      <c r="R986" s="32"/>
      <c r="S986" s="31"/>
      <c r="T986" s="31"/>
      <c r="U986" s="33"/>
      <c r="V986" s="33"/>
      <c r="W986" s="2"/>
    </row>
    <row r="987" spans="13:23" ht="14.25" customHeight="1" x14ac:dyDescent="0.3">
      <c r="M987" s="1"/>
      <c r="N987" s="31"/>
      <c r="O987" s="31"/>
      <c r="P987" s="31"/>
      <c r="Q987" s="32"/>
      <c r="R987" s="32"/>
      <c r="S987" s="31"/>
      <c r="T987" s="31"/>
      <c r="U987" s="33"/>
      <c r="V987" s="33"/>
      <c r="W987" s="2"/>
    </row>
    <row r="988" spans="13:23" ht="14.25" customHeight="1" x14ac:dyDescent="0.3">
      <c r="M988" s="1"/>
      <c r="N988" s="31"/>
      <c r="O988" s="31"/>
      <c r="P988" s="31"/>
      <c r="Q988" s="32"/>
      <c r="R988" s="32"/>
      <c r="S988" s="31"/>
      <c r="T988" s="31"/>
      <c r="U988" s="33"/>
      <c r="V988" s="33"/>
      <c r="W988" s="2"/>
    </row>
    <row r="989" spans="13:23" ht="14.25" customHeight="1" x14ac:dyDescent="0.3">
      <c r="M989" s="1"/>
      <c r="N989" s="31"/>
      <c r="O989" s="31"/>
      <c r="P989" s="31"/>
      <c r="Q989" s="32"/>
      <c r="R989" s="32"/>
      <c r="S989" s="31"/>
      <c r="T989" s="31"/>
      <c r="U989" s="33"/>
      <c r="V989" s="33"/>
      <c r="W989" s="2"/>
    </row>
    <row r="990" spans="13:23" ht="14.25" customHeight="1" x14ac:dyDescent="0.3">
      <c r="M990" s="1"/>
      <c r="N990" s="31"/>
      <c r="O990" s="31"/>
      <c r="P990" s="31"/>
      <c r="Q990" s="32"/>
      <c r="R990" s="32"/>
      <c r="S990" s="31"/>
      <c r="T990" s="31"/>
      <c r="U990" s="33"/>
      <c r="V990" s="33"/>
      <c r="W990" s="2"/>
    </row>
    <row r="991" spans="13:23" ht="14.25" customHeight="1" x14ac:dyDescent="0.3">
      <c r="M991" s="1"/>
      <c r="N991" s="31"/>
      <c r="O991" s="31"/>
      <c r="P991" s="31"/>
      <c r="Q991" s="32"/>
      <c r="R991" s="32"/>
      <c r="S991" s="31"/>
      <c r="T991" s="31"/>
      <c r="U991" s="33"/>
      <c r="V991" s="33"/>
      <c r="W991" s="2"/>
    </row>
    <row r="992" spans="13:23" ht="14.25" customHeight="1" x14ac:dyDescent="0.3">
      <c r="M992" s="1"/>
      <c r="N992" s="31"/>
      <c r="O992" s="31"/>
      <c r="P992" s="31"/>
      <c r="Q992" s="32"/>
      <c r="R992" s="32"/>
      <c r="S992" s="31"/>
      <c r="T992" s="31"/>
      <c r="U992" s="33"/>
      <c r="V992" s="33"/>
      <c r="W992" s="2"/>
    </row>
    <row r="993" spans="13:23" ht="14.25" customHeight="1" x14ac:dyDescent="0.3">
      <c r="M993" s="1"/>
      <c r="N993" s="31"/>
      <c r="O993" s="31"/>
      <c r="P993" s="31"/>
      <c r="Q993" s="32"/>
      <c r="R993" s="32"/>
      <c r="S993" s="31"/>
      <c r="T993" s="31"/>
      <c r="U993" s="33"/>
      <c r="V993" s="33"/>
      <c r="W993" s="2"/>
    </row>
    <row r="994" spans="13:23" ht="14.25" customHeight="1" x14ac:dyDescent="0.3">
      <c r="M994" s="1"/>
      <c r="N994" s="31"/>
      <c r="O994" s="31"/>
      <c r="P994" s="31"/>
      <c r="Q994" s="32"/>
      <c r="R994" s="32"/>
      <c r="S994" s="31"/>
      <c r="T994" s="31"/>
      <c r="U994" s="33"/>
      <c r="V994" s="33"/>
      <c r="W994" s="2"/>
    </row>
    <row r="995" spans="13:23" ht="14.25" customHeight="1" x14ac:dyDescent="0.3">
      <c r="M995" s="1"/>
      <c r="N995" s="31"/>
      <c r="O995" s="31"/>
      <c r="P995" s="31"/>
      <c r="Q995" s="32"/>
      <c r="R995" s="32"/>
      <c r="S995" s="31"/>
      <c r="T995" s="31"/>
      <c r="U995" s="33"/>
      <c r="V995" s="33"/>
      <c r="W995" s="2"/>
    </row>
    <row r="996" spans="13:23" ht="14.25" customHeight="1" x14ac:dyDescent="0.3">
      <c r="M996" s="1"/>
      <c r="N996" s="31"/>
      <c r="O996" s="31"/>
      <c r="P996" s="31"/>
      <c r="Q996" s="32"/>
      <c r="R996" s="32"/>
      <c r="S996" s="31"/>
      <c r="T996" s="31"/>
      <c r="U996" s="33"/>
      <c r="V996" s="33"/>
      <c r="W996" s="2"/>
    </row>
    <row r="997" spans="13:23" ht="14.25" customHeight="1" x14ac:dyDescent="0.3">
      <c r="M997" s="1"/>
      <c r="N997" s="31"/>
      <c r="O997" s="31"/>
      <c r="P997" s="31"/>
      <c r="Q997" s="32"/>
      <c r="R997" s="32"/>
      <c r="S997" s="31"/>
      <c r="T997" s="31"/>
      <c r="U997" s="33"/>
      <c r="V997" s="33"/>
      <c r="W997" s="2"/>
    </row>
    <row r="998" spans="13:23" ht="14.25" customHeight="1" x14ac:dyDescent="0.3">
      <c r="M998" s="1"/>
      <c r="N998" s="31"/>
      <c r="O998" s="31"/>
      <c r="P998" s="31"/>
      <c r="Q998" s="32"/>
      <c r="R998" s="32"/>
      <c r="S998" s="31"/>
      <c r="T998" s="31"/>
      <c r="U998" s="33"/>
      <c r="V998" s="33"/>
      <c r="W998" s="2"/>
    </row>
    <row r="999" spans="13:23" ht="14.25" customHeight="1" x14ac:dyDescent="0.3">
      <c r="M999" s="1"/>
      <c r="N999" s="31"/>
      <c r="O999" s="31"/>
      <c r="P999" s="31"/>
      <c r="Q999" s="32"/>
      <c r="R999" s="32"/>
      <c r="S999" s="31"/>
      <c r="T999" s="31"/>
      <c r="U999" s="33"/>
      <c r="V999" s="33"/>
      <c r="W999" s="2"/>
    </row>
  </sheetData>
  <pageMargins left="0.7" right="0.7" top="0.75" bottom="0.75" header="0" footer="0"/>
  <pageSetup orientation="portrait"/>
  <headerFooter>
    <oddHeader>&amp;LBarrio Stefani S.A.&amp;RListado de Precios - Etapa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5" customWidth="1"/>
    <col min="2" max="2" width="16" customWidth="1"/>
    <col min="3" max="3" width="10" customWidth="1"/>
    <col min="4" max="4" width="11" customWidth="1"/>
    <col min="5" max="5" width="10" customWidth="1"/>
    <col min="6" max="6" width="14" customWidth="1"/>
    <col min="7" max="7" width="17" customWidth="1"/>
    <col min="8" max="8" width="12" customWidth="1"/>
    <col min="9" max="9" width="17" customWidth="1"/>
    <col min="10" max="10" width="20" customWidth="1"/>
    <col min="11" max="11" width="16" customWidth="1"/>
    <col min="12" max="12" width="18" customWidth="1"/>
    <col min="13" max="26" width="8.6640625" customWidth="1"/>
  </cols>
  <sheetData>
    <row r="1" spans="1:12" ht="30" customHeight="1" x14ac:dyDescent="0.3">
      <c r="A1" s="34" t="s">
        <v>225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ht="14.25" customHeight="1" x14ac:dyDescent="0.3">
      <c r="A2" s="35">
        <v>1</v>
      </c>
      <c r="B2" s="35">
        <v>1</v>
      </c>
      <c r="C2" s="35">
        <v>1</v>
      </c>
      <c r="D2" s="35"/>
      <c r="E2" s="35">
        <v>1</v>
      </c>
      <c r="F2" s="35">
        <v>199468</v>
      </c>
      <c r="G2" s="35">
        <v>46662</v>
      </c>
      <c r="H2" s="35">
        <v>442</v>
      </c>
      <c r="I2" s="35">
        <v>74463</v>
      </c>
      <c r="J2" s="35">
        <v>24495422</v>
      </c>
      <c r="K2" s="35">
        <v>94248</v>
      </c>
      <c r="L2" s="36">
        <v>2340837</v>
      </c>
    </row>
    <row r="3" spans="1:12" ht="14.25" customHeight="1" x14ac:dyDescent="0.3">
      <c r="A3" s="37">
        <v>2</v>
      </c>
      <c r="B3" s="37">
        <v>1</v>
      </c>
      <c r="C3" s="37">
        <v>1</v>
      </c>
      <c r="D3" s="37"/>
      <c r="E3" s="37">
        <v>2</v>
      </c>
      <c r="F3" s="37">
        <v>199469</v>
      </c>
      <c r="G3" s="37">
        <v>46663</v>
      </c>
      <c r="H3" s="37">
        <v>442</v>
      </c>
      <c r="I3" s="37">
        <v>74464</v>
      </c>
      <c r="J3" s="37">
        <v>24495426</v>
      </c>
      <c r="K3" s="37">
        <v>95472</v>
      </c>
      <c r="L3" s="38">
        <v>2371238</v>
      </c>
    </row>
    <row r="4" spans="1:12" ht="14.25" customHeight="1" x14ac:dyDescent="0.3">
      <c r="A4" s="35">
        <v>3</v>
      </c>
      <c r="B4" s="35">
        <v>1</v>
      </c>
      <c r="C4" s="35">
        <v>1</v>
      </c>
      <c r="D4" s="35"/>
      <c r="E4" s="35">
        <v>3</v>
      </c>
      <c r="F4" s="35">
        <v>199470</v>
      </c>
      <c r="G4" s="35">
        <v>46664</v>
      </c>
      <c r="H4" s="35">
        <v>442</v>
      </c>
      <c r="I4" s="35">
        <v>74465</v>
      </c>
      <c r="J4" s="35">
        <v>24495433</v>
      </c>
      <c r="K4" s="35">
        <v>75114</v>
      </c>
      <c r="L4" s="36">
        <v>1865606</v>
      </c>
    </row>
    <row r="5" spans="1:12" ht="14.25" customHeight="1" x14ac:dyDescent="0.3">
      <c r="A5" s="37">
        <v>4</v>
      </c>
      <c r="B5" s="37">
        <v>1</v>
      </c>
      <c r="C5" s="37">
        <v>1</v>
      </c>
      <c r="D5" s="37"/>
      <c r="E5" s="37">
        <v>4</v>
      </c>
      <c r="F5" s="37">
        <v>199471</v>
      </c>
      <c r="G5" s="37">
        <v>46665</v>
      </c>
      <c r="H5" s="37">
        <v>442</v>
      </c>
      <c r="I5" s="37">
        <v>74466</v>
      </c>
      <c r="J5" s="37">
        <v>24495436</v>
      </c>
      <c r="K5" s="37">
        <v>75114</v>
      </c>
      <c r="L5" s="38">
        <v>1865606</v>
      </c>
    </row>
    <row r="6" spans="1:12" ht="14.25" customHeight="1" x14ac:dyDescent="0.3">
      <c r="A6" s="35">
        <v>5</v>
      </c>
      <c r="B6" s="35">
        <v>1</v>
      </c>
      <c r="C6" s="35">
        <v>1</v>
      </c>
      <c r="D6" s="35"/>
      <c r="E6" s="35">
        <v>5</v>
      </c>
      <c r="F6" s="35">
        <v>199472</v>
      </c>
      <c r="G6" s="35">
        <v>46666</v>
      </c>
      <c r="H6" s="35">
        <v>442</v>
      </c>
      <c r="I6" s="35">
        <v>74467</v>
      </c>
      <c r="J6" s="35">
        <v>24495439</v>
      </c>
      <c r="K6" s="35">
        <v>75114</v>
      </c>
      <c r="L6" s="36">
        <v>1865606</v>
      </c>
    </row>
    <row r="7" spans="1:12" ht="14.25" customHeight="1" x14ac:dyDescent="0.3">
      <c r="A7" s="37">
        <v>6</v>
      </c>
      <c r="B7" s="37">
        <v>1</v>
      </c>
      <c r="C7" s="37">
        <v>1</v>
      </c>
      <c r="D7" s="37"/>
      <c r="E7" s="37">
        <v>6</v>
      </c>
      <c r="F7" s="37">
        <v>199473</v>
      </c>
      <c r="G7" s="37">
        <v>46667</v>
      </c>
      <c r="H7" s="37">
        <v>442</v>
      </c>
      <c r="I7" s="37">
        <v>74468</v>
      </c>
      <c r="J7" s="37">
        <v>24495443</v>
      </c>
      <c r="K7" s="37">
        <v>75114</v>
      </c>
      <c r="L7" s="38">
        <v>1865606</v>
      </c>
    </row>
    <row r="8" spans="1:12" ht="14.25" customHeight="1" x14ac:dyDescent="0.3">
      <c r="A8" s="35">
        <v>7</v>
      </c>
      <c r="B8" s="35">
        <v>1</v>
      </c>
      <c r="C8" s="35">
        <v>1</v>
      </c>
      <c r="D8" s="35"/>
      <c r="E8" s="35">
        <v>7</v>
      </c>
      <c r="F8" s="35">
        <v>199474</v>
      </c>
      <c r="G8" s="35">
        <v>46668</v>
      </c>
      <c r="H8" s="35">
        <v>442</v>
      </c>
      <c r="I8" s="35">
        <v>74469</v>
      </c>
      <c r="J8" s="35">
        <v>24495802</v>
      </c>
      <c r="K8" s="35">
        <v>98241</v>
      </c>
      <c r="L8" s="36">
        <v>2440026</v>
      </c>
    </row>
    <row r="9" spans="1:12" ht="14.25" customHeight="1" x14ac:dyDescent="0.3">
      <c r="A9" s="37">
        <v>8</v>
      </c>
      <c r="B9" s="37">
        <v>1</v>
      </c>
      <c r="C9" s="37">
        <v>1</v>
      </c>
      <c r="D9" s="37"/>
      <c r="E9" s="37">
        <v>8</v>
      </c>
      <c r="F9" s="37">
        <v>199475</v>
      </c>
      <c r="G9" s="37">
        <v>44932</v>
      </c>
      <c r="H9" s="37">
        <v>442</v>
      </c>
      <c r="I9" s="37">
        <v>74992</v>
      </c>
      <c r="J9" s="37">
        <v>24495786</v>
      </c>
      <c r="K9" s="37">
        <v>107460</v>
      </c>
      <c r="L9" s="38">
        <v>2668984</v>
      </c>
    </row>
    <row r="10" spans="1:12" ht="14.25" customHeight="1" x14ac:dyDescent="0.3">
      <c r="A10" s="35">
        <v>9</v>
      </c>
      <c r="B10" s="35">
        <v>1</v>
      </c>
      <c r="C10" s="35">
        <v>1</v>
      </c>
      <c r="D10" s="35"/>
      <c r="E10" s="35">
        <v>9</v>
      </c>
      <c r="F10" s="35">
        <v>199476</v>
      </c>
      <c r="G10" s="35">
        <v>46669</v>
      </c>
      <c r="H10" s="35">
        <v>442</v>
      </c>
      <c r="I10" s="35">
        <v>74470</v>
      </c>
      <c r="J10" s="35">
        <v>24495795</v>
      </c>
      <c r="K10" s="35">
        <v>107460</v>
      </c>
      <c r="L10" s="36">
        <v>2668984</v>
      </c>
    </row>
    <row r="11" spans="1:12" ht="14.25" customHeight="1" x14ac:dyDescent="0.3">
      <c r="A11" s="37">
        <v>10</v>
      </c>
      <c r="B11" s="37">
        <v>1</v>
      </c>
      <c r="C11" s="37">
        <v>1</v>
      </c>
      <c r="D11" s="37"/>
      <c r="E11" s="37">
        <v>10</v>
      </c>
      <c r="F11" s="37">
        <v>199477</v>
      </c>
      <c r="G11" s="37">
        <v>46670</v>
      </c>
      <c r="H11" s="37">
        <v>442</v>
      </c>
      <c r="I11" s="37">
        <v>74471</v>
      </c>
      <c r="J11" s="37">
        <v>24495894</v>
      </c>
      <c r="K11" s="37">
        <v>107460</v>
      </c>
      <c r="L11" s="38">
        <v>2668984</v>
      </c>
    </row>
    <row r="12" spans="1:12" ht="14.25" customHeight="1" x14ac:dyDescent="0.3">
      <c r="A12" s="35">
        <v>11</v>
      </c>
      <c r="B12" s="35">
        <v>1</v>
      </c>
      <c r="C12" s="35">
        <v>1</v>
      </c>
      <c r="D12" s="35"/>
      <c r="E12" s="35">
        <v>11</v>
      </c>
      <c r="F12" s="35">
        <v>199478</v>
      </c>
      <c r="G12" s="35">
        <v>46671</v>
      </c>
      <c r="H12" s="35">
        <v>442</v>
      </c>
      <c r="I12" s="35">
        <v>74472</v>
      </c>
      <c r="J12" s="35">
        <v>24495897</v>
      </c>
      <c r="K12" s="35">
        <v>107460</v>
      </c>
      <c r="L12" s="36">
        <v>2668984</v>
      </c>
    </row>
    <row r="13" spans="1:12" ht="14.25" customHeight="1" x14ac:dyDescent="0.3">
      <c r="A13" s="37">
        <v>12</v>
      </c>
      <c r="B13" s="37">
        <v>1</v>
      </c>
      <c r="C13" s="37">
        <v>1</v>
      </c>
      <c r="D13" s="37"/>
      <c r="E13" s="37">
        <v>12</v>
      </c>
      <c r="F13" s="37">
        <v>199479</v>
      </c>
      <c r="G13" s="37">
        <v>466672</v>
      </c>
      <c r="H13" s="37">
        <v>442</v>
      </c>
      <c r="I13" s="37">
        <v>74474</v>
      </c>
      <c r="J13" s="37">
        <v>24495902</v>
      </c>
      <c r="K13" s="37">
        <v>107460</v>
      </c>
      <c r="L13" s="38">
        <v>2668984</v>
      </c>
    </row>
    <row r="14" spans="1:12" ht="14.25" customHeight="1" x14ac:dyDescent="0.3">
      <c r="A14" s="35">
        <v>13</v>
      </c>
      <c r="B14" s="35">
        <v>1</v>
      </c>
      <c r="C14" s="35">
        <v>1</v>
      </c>
      <c r="D14" s="35"/>
      <c r="E14" s="35">
        <v>13</v>
      </c>
      <c r="F14" s="35">
        <v>199480</v>
      </c>
      <c r="G14" s="35">
        <v>46673</v>
      </c>
      <c r="H14" s="35">
        <v>442</v>
      </c>
      <c r="I14" s="35">
        <v>74475</v>
      </c>
      <c r="J14" s="35">
        <v>24495905</v>
      </c>
      <c r="K14" s="35">
        <v>107460</v>
      </c>
      <c r="L14" s="36">
        <v>2668984</v>
      </c>
    </row>
    <row r="15" spans="1:12" ht="14.25" customHeight="1" x14ac:dyDescent="0.3">
      <c r="A15" s="37">
        <v>14</v>
      </c>
      <c r="B15" s="37">
        <v>1</v>
      </c>
      <c r="C15" s="37">
        <v>1</v>
      </c>
      <c r="D15" s="37"/>
      <c r="E15" s="37">
        <v>14</v>
      </c>
      <c r="F15" s="37">
        <v>199481</v>
      </c>
      <c r="G15" s="37">
        <v>46674</v>
      </c>
      <c r="H15" s="37">
        <v>442</v>
      </c>
      <c r="I15" s="37">
        <v>74476</v>
      </c>
      <c r="J15" s="37">
        <v>24495907</v>
      </c>
      <c r="K15" s="37">
        <v>107460</v>
      </c>
      <c r="L15" s="38">
        <v>2668984</v>
      </c>
    </row>
    <row r="16" spans="1:12" ht="14.25" customHeight="1" x14ac:dyDescent="0.3">
      <c r="A16" s="35">
        <v>15</v>
      </c>
      <c r="B16" s="35">
        <v>1</v>
      </c>
      <c r="C16" s="35">
        <v>1</v>
      </c>
      <c r="D16" s="35"/>
      <c r="E16" s="35">
        <v>15</v>
      </c>
      <c r="F16" s="35">
        <v>199482</v>
      </c>
      <c r="G16" s="35">
        <v>46675</v>
      </c>
      <c r="H16" s="35">
        <v>442</v>
      </c>
      <c r="I16" s="35">
        <v>74477</v>
      </c>
      <c r="J16" s="35">
        <v>24495911</v>
      </c>
      <c r="K16" s="35">
        <v>107460</v>
      </c>
      <c r="L16" s="36">
        <v>2668984</v>
      </c>
    </row>
    <row r="17" spans="1:12" ht="14.25" customHeight="1" x14ac:dyDescent="0.3">
      <c r="A17" s="37">
        <v>16</v>
      </c>
      <c r="B17" s="37">
        <v>1</v>
      </c>
      <c r="C17" s="37">
        <v>1</v>
      </c>
      <c r="D17" s="37"/>
      <c r="E17" s="37">
        <v>16</v>
      </c>
      <c r="F17" s="37">
        <v>199483</v>
      </c>
      <c r="G17" s="37">
        <v>46676</v>
      </c>
      <c r="H17" s="37">
        <v>442</v>
      </c>
      <c r="I17" s="37">
        <v>74478</v>
      </c>
      <c r="J17" s="37">
        <v>24495914</v>
      </c>
      <c r="K17" s="37">
        <v>98241</v>
      </c>
      <c r="L17" s="38">
        <v>2440026</v>
      </c>
    </row>
    <row r="18" spans="1:12" ht="14.25" customHeight="1" x14ac:dyDescent="0.3">
      <c r="A18" s="35">
        <v>17</v>
      </c>
      <c r="B18" s="35">
        <v>1</v>
      </c>
      <c r="C18" s="35">
        <v>1</v>
      </c>
      <c r="D18" s="35"/>
      <c r="E18" s="35">
        <v>17</v>
      </c>
      <c r="F18" s="35">
        <v>199484</v>
      </c>
      <c r="G18" s="35">
        <v>46677</v>
      </c>
      <c r="H18" s="35">
        <v>442</v>
      </c>
      <c r="I18" s="35">
        <v>74479</v>
      </c>
      <c r="J18" s="35">
        <v>24495937</v>
      </c>
      <c r="K18" s="35">
        <v>75114</v>
      </c>
      <c r="L18" s="36">
        <v>1865606</v>
      </c>
    </row>
    <row r="19" spans="1:12" ht="14.25" customHeight="1" x14ac:dyDescent="0.3">
      <c r="A19" s="37">
        <v>18</v>
      </c>
      <c r="B19" s="37">
        <v>1</v>
      </c>
      <c r="C19" s="37">
        <v>1</v>
      </c>
      <c r="D19" s="37"/>
      <c r="E19" s="37">
        <v>18</v>
      </c>
      <c r="F19" s="37">
        <v>199485</v>
      </c>
      <c r="G19" s="37">
        <v>46678</v>
      </c>
      <c r="H19" s="37">
        <v>442</v>
      </c>
      <c r="I19" s="37">
        <v>74480</v>
      </c>
      <c r="J19" s="37">
        <v>24495939</v>
      </c>
      <c r="K19" s="37">
        <v>75114</v>
      </c>
      <c r="L19" s="38">
        <v>1865606</v>
      </c>
    </row>
    <row r="20" spans="1:12" ht="14.25" customHeight="1" x14ac:dyDescent="0.3">
      <c r="A20" s="35">
        <v>19</v>
      </c>
      <c r="B20" s="35">
        <v>1</v>
      </c>
      <c r="C20" s="35">
        <v>1</v>
      </c>
      <c r="D20" s="35"/>
      <c r="E20" s="35">
        <v>19</v>
      </c>
      <c r="F20" s="35">
        <v>199486</v>
      </c>
      <c r="G20" s="35">
        <v>46679</v>
      </c>
      <c r="H20" s="35">
        <v>442</v>
      </c>
      <c r="I20" s="35">
        <v>74481</v>
      </c>
      <c r="J20" s="35">
        <v>24495941</v>
      </c>
      <c r="K20" s="35">
        <v>75114</v>
      </c>
      <c r="L20" s="36">
        <v>1865606</v>
      </c>
    </row>
    <row r="21" spans="1:12" ht="14.25" customHeight="1" x14ac:dyDescent="0.3">
      <c r="A21" s="37">
        <v>20</v>
      </c>
      <c r="B21" s="37">
        <v>1</v>
      </c>
      <c r="C21" s="37">
        <v>1</v>
      </c>
      <c r="D21" s="37"/>
      <c r="E21" s="37">
        <v>20</v>
      </c>
      <c r="F21" s="37">
        <v>199487</v>
      </c>
      <c r="G21" s="37">
        <v>46680</v>
      </c>
      <c r="H21" s="37">
        <v>442</v>
      </c>
      <c r="I21" s="37">
        <v>74482</v>
      </c>
      <c r="J21" s="37">
        <v>24495967</v>
      </c>
      <c r="K21" s="37">
        <v>75114</v>
      </c>
      <c r="L21" s="38">
        <v>1865606</v>
      </c>
    </row>
    <row r="22" spans="1:12" ht="14.25" customHeight="1" x14ac:dyDescent="0.3">
      <c r="A22" s="35">
        <v>21</v>
      </c>
      <c r="B22" s="35">
        <v>1</v>
      </c>
      <c r="C22" s="35">
        <v>1</v>
      </c>
      <c r="D22" s="35"/>
      <c r="E22" s="35">
        <v>21</v>
      </c>
      <c r="F22" s="35">
        <v>199488</v>
      </c>
      <c r="G22" s="35">
        <v>46681</v>
      </c>
      <c r="H22" s="35">
        <v>442</v>
      </c>
      <c r="I22" s="35">
        <v>74483</v>
      </c>
      <c r="J22" s="35">
        <v>24490369</v>
      </c>
      <c r="K22" s="35">
        <v>75114</v>
      </c>
      <c r="L22" s="36">
        <v>1865606</v>
      </c>
    </row>
    <row r="23" spans="1:12" ht="14.25" customHeight="1" x14ac:dyDescent="0.3">
      <c r="A23" s="37">
        <v>22</v>
      </c>
      <c r="B23" s="37">
        <v>1</v>
      </c>
      <c r="C23" s="37">
        <v>1</v>
      </c>
      <c r="D23" s="37"/>
      <c r="E23" s="37">
        <v>22</v>
      </c>
      <c r="F23" s="37">
        <v>199489</v>
      </c>
      <c r="G23" s="37">
        <v>46682</v>
      </c>
      <c r="H23" s="37">
        <v>442</v>
      </c>
      <c r="I23" s="37">
        <v>74514</v>
      </c>
      <c r="J23" s="37">
        <v>24490380</v>
      </c>
      <c r="K23" s="37">
        <v>94248</v>
      </c>
      <c r="L23" s="38">
        <v>2340837</v>
      </c>
    </row>
    <row r="24" spans="1:12" ht="14.25" customHeight="1" x14ac:dyDescent="0.3">
      <c r="A24" s="35">
        <v>23</v>
      </c>
      <c r="B24" s="35">
        <v>1</v>
      </c>
      <c r="C24" s="35">
        <v>1</v>
      </c>
      <c r="D24" s="35"/>
      <c r="E24" s="35">
        <v>23</v>
      </c>
      <c r="F24" s="35">
        <v>199490</v>
      </c>
      <c r="G24" s="35">
        <v>46683</v>
      </c>
      <c r="H24" s="35">
        <v>442</v>
      </c>
      <c r="I24" s="35">
        <v>74515</v>
      </c>
      <c r="J24" s="35">
        <v>24490383</v>
      </c>
      <c r="K24" s="35">
        <v>81075</v>
      </c>
      <c r="L24" s="36">
        <v>2013674</v>
      </c>
    </row>
    <row r="25" spans="1:12" ht="14.25" customHeight="1" x14ac:dyDescent="0.3">
      <c r="A25" s="37">
        <v>24</v>
      </c>
      <c r="B25" s="37">
        <v>1</v>
      </c>
      <c r="C25" s="37">
        <v>1</v>
      </c>
      <c r="D25" s="37"/>
      <c r="E25" s="37">
        <v>24</v>
      </c>
      <c r="F25" s="37">
        <v>199491</v>
      </c>
      <c r="G25" s="37">
        <v>46684</v>
      </c>
      <c r="H25" s="37">
        <v>442</v>
      </c>
      <c r="I25" s="37">
        <v>74516</v>
      </c>
      <c r="J25" s="37">
        <v>24490384</v>
      </c>
      <c r="K25" s="37">
        <v>107730</v>
      </c>
      <c r="L25" s="38">
        <v>2675690</v>
      </c>
    </row>
    <row r="26" spans="1:12" ht="14.25" customHeight="1" x14ac:dyDescent="0.3">
      <c r="A26" s="35">
        <v>25</v>
      </c>
      <c r="B26" s="35">
        <v>1</v>
      </c>
      <c r="C26" s="35">
        <v>1</v>
      </c>
      <c r="D26" s="35"/>
      <c r="E26" s="35">
        <v>25</v>
      </c>
      <c r="F26" s="35">
        <v>199492</v>
      </c>
      <c r="G26" s="35">
        <v>46685</v>
      </c>
      <c r="H26" s="35">
        <v>442</v>
      </c>
      <c r="I26" s="35">
        <v>74517</v>
      </c>
      <c r="J26" s="35">
        <v>24490387</v>
      </c>
      <c r="K26" s="35">
        <v>107730</v>
      </c>
      <c r="L26" s="36">
        <v>2675690</v>
      </c>
    </row>
    <row r="27" spans="1:12" ht="14.25" customHeight="1" x14ac:dyDescent="0.3">
      <c r="A27" s="37">
        <v>26</v>
      </c>
      <c r="B27" s="37">
        <v>1</v>
      </c>
      <c r="C27" s="37">
        <v>1</v>
      </c>
      <c r="D27" s="37"/>
      <c r="E27" s="37">
        <v>26</v>
      </c>
      <c r="F27" s="37">
        <v>199493</v>
      </c>
      <c r="G27" s="37">
        <v>46686</v>
      </c>
      <c r="H27" s="37">
        <v>442</v>
      </c>
      <c r="I27" s="37">
        <v>74518</v>
      </c>
      <c r="J27" s="37">
        <v>24490390</v>
      </c>
      <c r="K27" s="37">
        <v>107730</v>
      </c>
      <c r="L27" s="38">
        <v>2675690</v>
      </c>
    </row>
    <row r="28" spans="1:12" ht="14.25" customHeight="1" x14ac:dyDescent="0.3">
      <c r="A28" s="35">
        <v>27</v>
      </c>
      <c r="B28" s="35">
        <v>1</v>
      </c>
      <c r="C28" s="35">
        <v>1</v>
      </c>
      <c r="D28" s="35"/>
      <c r="E28" s="35">
        <v>27</v>
      </c>
      <c r="F28" s="35">
        <v>199494</v>
      </c>
      <c r="G28" s="35">
        <v>46687</v>
      </c>
      <c r="H28" s="35">
        <v>442</v>
      </c>
      <c r="I28" s="35">
        <v>74519</v>
      </c>
      <c r="J28" s="35">
        <v>24490396</v>
      </c>
      <c r="K28" s="35">
        <v>107730</v>
      </c>
      <c r="L28" s="36">
        <v>2675690</v>
      </c>
    </row>
    <row r="29" spans="1:12" ht="14.25" customHeight="1" x14ac:dyDescent="0.3">
      <c r="A29" s="37">
        <v>28</v>
      </c>
      <c r="B29" s="37">
        <v>1</v>
      </c>
      <c r="C29" s="37">
        <v>1</v>
      </c>
      <c r="D29" s="37"/>
      <c r="E29" s="37">
        <v>28</v>
      </c>
      <c r="F29" s="37">
        <v>199495</v>
      </c>
      <c r="G29" s="37">
        <v>46688</v>
      </c>
      <c r="H29" s="37">
        <v>442</v>
      </c>
      <c r="I29" s="37">
        <v>74520</v>
      </c>
      <c r="J29" s="37">
        <v>24490405</v>
      </c>
      <c r="K29" s="37">
        <v>107730</v>
      </c>
      <c r="L29" s="38">
        <v>2675690</v>
      </c>
    </row>
    <row r="30" spans="1:12" ht="14.25" customHeight="1" x14ac:dyDescent="0.3">
      <c r="A30" s="35">
        <v>29</v>
      </c>
      <c r="B30" s="35">
        <v>1</v>
      </c>
      <c r="C30" s="35">
        <v>1</v>
      </c>
      <c r="D30" s="35"/>
      <c r="E30" s="35">
        <v>29</v>
      </c>
      <c r="F30" s="35">
        <v>199496</v>
      </c>
      <c r="G30" s="35">
        <v>46689</v>
      </c>
      <c r="H30" s="35">
        <v>442</v>
      </c>
      <c r="I30" s="35">
        <v>74521</v>
      </c>
      <c r="J30" s="35">
        <v>24490409</v>
      </c>
      <c r="K30" s="35">
        <v>107730</v>
      </c>
      <c r="L30" s="36">
        <v>2675690</v>
      </c>
    </row>
    <row r="31" spans="1:12" ht="14.25" customHeight="1" x14ac:dyDescent="0.3">
      <c r="A31" s="37">
        <v>30</v>
      </c>
      <c r="B31" s="37">
        <v>1</v>
      </c>
      <c r="C31" s="37">
        <v>1</v>
      </c>
      <c r="D31" s="37"/>
      <c r="E31" s="37">
        <v>30</v>
      </c>
      <c r="F31" s="37">
        <v>199497</v>
      </c>
      <c r="G31" s="37">
        <v>46690</v>
      </c>
      <c r="H31" s="37">
        <v>442</v>
      </c>
      <c r="I31" s="37">
        <v>74522</v>
      </c>
      <c r="J31" s="37">
        <v>24490436</v>
      </c>
      <c r="K31" s="37">
        <v>107730</v>
      </c>
      <c r="L31" s="38">
        <v>2675690</v>
      </c>
    </row>
    <row r="32" spans="1:12" ht="14.25" customHeight="1" x14ac:dyDescent="0.3">
      <c r="A32" s="35">
        <v>31</v>
      </c>
      <c r="B32" s="35">
        <v>1</v>
      </c>
      <c r="C32" s="35">
        <v>1</v>
      </c>
      <c r="D32" s="35"/>
      <c r="E32" s="35">
        <v>31</v>
      </c>
      <c r="F32" s="35">
        <v>199498</v>
      </c>
      <c r="G32" s="35">
        <v>46691</v>
      </c>
      <c r="H32" s="35">
        <v>442</v>
      </c>
      <c r="I32" s="35">
        <v>74523</v>
      </c>
      <c r="J32" s="35">
        <v>24490437</v>
      </c>
      <c r="K32" s="35">
        <v>107730</v>
      </c>
      <c r="L32" s="36">
        <v>2675690</v>
      </c>
    </row>
    <row r="33" spans="1:12" ht="14.25" customHeight="1" x14ac:dyDescent="0.3">
      <c r="A33" s="37">
        <v>32</v>
      </c>
      <c r="B33" s="37">
        <v>1</v>
      </c>
      <c r="C33" s="37">
        <v>1</v>
      </c>
      <c r="D33" s="37"/>
      <c r="E33" s="37">
        <v>32</v>
      </c>
      <c r="F33" s="37">
        <v>199499</v>
      </c>
      <c r="G33" s="37">
        <v>46692</v>
      </c>
      <c r="H33" s="37">
        <v>442</v>
      </c>
      <c r="I33" s="37">
        <v>74524</v>
      </c>
      <c r="J33" s="37">
        <v>24495438</v>
      </c>
      <c r="K33" s="37">
        <v>81075</v>
      </c>
      <c r="L33" s="38">
        <v>2013674</v>
      </c>
    </row>
    <row r="34" spans="1:12" ht="14.25" customHeight="1" x14ac:dyDescent="0.3">
      <c r="A34" s="35">
        <v>33</v>
      </c>
      <c r="B34" s="35">
        <v>1</v>
      </c>
      <c r="C34" s="35">
        <v>2</v>
      </c>
      <c r="D34" s="35"/>
      <c r="E34" s="35">
        <v>1</v>
      </c>
      <c r="F34" s="35">
        <v>199215</v>
      </c>
      <c r="G34" s="35">
        <v>46693</v>
      </c>
      <c r="H34" s="35">
        <v>442</v>
      </c>
      <c r="I34" s="35">
        <v>74527</v>
      </c>
      <c r="J34" s="35">
        <v>24490440</v>
      </c>
      <c r="K34" s="35">
        <v>93432</v>
      </c>
      <c r="L34" s="36">
        <v>2320570</v>
      </c>
    </row>
    <row r="35" spans="1:12" ht="14.25" customHeight="1" x14ac:dyDescent="0.3">
      <c r="A35" s="37">
        <v>34</v>
      </c>
      <c r="B35" s="37">
        <v>1</v>
      </c>
      <c r="C35" s="37">
        <v>2</v>
      </c>
      <c r="D35" s="37"/>
      <c r="E35" s="37">
        <v>2</v>
      </c>
      <c r="F35" s="37">
        <v>199216</v>
      </c>
      <c r="G35" s="37">
        <v>46694</v>
      </c>
      <c r="H35" s="37">
        <v>442</v>
      </c>
      <c r="I35" s="37">
        <v>74528</v>
      </c>
      <c r="J35" s="37">
        <v>24490462</v>
      </c>
      <c r="K35" s="37">
        <v>75114</v>
      </c>
      <c r="L35" s="38">
        <v>1865606</v>
      </c>
    </row>
    <row r="36" spans="1:12" ht="14.25" customHeight="1" x14ac:dyDescent="0.3">
      <c r="A36" s="35">
        <v>35</v>
      </c>
      <c r="B36" s="35">
        <v>1</v>
      </c>
      <c r="C36" s="35">
        <v>2</v>
      </c>
      <c r="D36" s="35"/>
      <c r="E36" s="35">
        <v>3</v>
      </c>
      <c r="F36" s="35">
        <v>199217</v>
      </c>
      <c r="G36" s="35">
        <v>46695</v>
      </c>
      <c r="H36" s="35">
        <v>442</v>
      </c>
      <c r="I36" s="35">
        <v>74529</v>
      </c>
      <c r="J36" s="35">
        <v>24490473</v>
      </c>
      <c r="K36" s="35">
        <v>75114</v>
      </c>
      <c r="L36" s="36">
        <v>1865606</v>
      </c>
    </row>
    <row r="37" spans="1:12" ht="14.25" customHeight="1" x14ac:dyDescent="0.3">
      <c r="A37" s="37">
        <v>36</v>
      </c>
      <c r="B37" s="37">
        <v>1</v>
      </c>
      <c r="C37" s="37">
        <v>2</v>
      </c>
      <c r="D37" s="37"/>
      <c r="E37" s="37">
        <v>4</v>
      </c>
      <c r="F37" s="37">
        <v>199218</v>
      </c>
      <c r="G37" s="37">
        <v>46696</v>
      </c>
      <c r="H37" s="37">
        <v>442</v>
      </c>
      <c r="I37" s="37">
        <v>74530</v>
      </c>
      <c r="J37" s="37">
        <v>24490475</v>
      </c>
      <c r="K37" s="37">
        <v>75114</v>
      </c>
      <c r="L37" s="38">
        <v>1865606</v>
      </c>
    </row>
    <row r="38" spans="1:12" ht="14.25" customHeight="1" x14ac:dyDescent="0.3">
      <c r="A38" s="35">
        <v>37</v>
      </c>
      <c r="B38" s="35">
        <v>1</v>
      </c>
      <c r="C38" s="35">
        <v>2</v>
      </c>
      <c r="D38" s="35"/>
      <c r="E38" s="35">
        <v>5</v>
      </c>
      <c r="F38" s="35">
        <v>199219</v>
      </c>
      <c r="G38" s="35">
        <v>46697</v>
      </c>
      <c r="H38" s="35">
        <v>442</v>
      </c>
      <c r="I38" s="35">
        <v>74531</v>
      </c>
      <c r="J38" s="35">
        <v>24490523</v>
      </c>
      <c r="K38" s="35">
        <v>75114</v>
      </c>
      <c r="L38" s="36">
        <v>1865606</v>
      </c>
    </row>
    <row r="39" spans="1:12" ht="14.25" customHeight="1" x14ac:dyDescent="0.3">
      <c r="A39" s="37">
        <v>38</v>
      </c>
      <c r="B39" s="37">
        <v>1</v>
      </c>
      <c r="C39" s="37">
        <v>2</v>
      </c>
      <c r="D39" s="37"/>
      <c r="E39" s="37">
        <v>6</v>
      </c>
      <c r="F39" s="37">
        <v>199220</v>
      </c>
      <c r="G39" s="37">
        <v>44933</v>
      </c>
      <c r="H39" s="37">
        <v>442</v>
      </c>
      <c r="I39" s="37">
        <v>74532</v>
      </c>
      <c r="J39" s="37">
        <v>24490527</v>
      </c>
      <c r="K39" s="37">
        <v>93432</v>
      </c>
      <c r="L39" s="38">
        <v>2320570</v>
      </c>
    </row>
    <row r="40" spans="1:12" ht="14.25" customHeight="1" x14ac:dyDescent="0.3">
      <c r="A40" s="35">
        <v>39</v>
      </c>
      <c r="B40" s="35">
        <v>1</v>
      </c>
      <c r="C40" s="35">
        <v>2</v>
      </c>
      <c r="D40" s="35"/>
      <c r="E40" s="35">
        <v>7</v>
      </c>
      <c r="F40" s="35">
        <v>199221</v>
      </c>
      <c r="G40" s="35">
        <v>46698</v>
      </c>
      <c r="H40" s="35">
        <v>442</v>
      </c>
      <c r="I40" s="35">
        <v>74533</v>
      </c>
      <c r="J40" s="35">
        <v>24490530</v>
      </c>
      <c r="K40" s="35">
        <v>89700</v>
      </c>
      <c r="L40" s="36">
        <v>2227878</v>
      </c>
    </row>
    <row r="41" spans="1:12" ht="14.25" customHeight="1" x14ac:dyDescent="0.3">
      <c r="A41" s="37">
        <v>40</v>
      </c>
      <c r="B41" s="37">
        <v>1</v>
      </c>
      <c r="C41" s="37">
        <v>2</v>
      </c>
      <c r="D41" s="37"/>
      <c r="E41" s="37">
        <v>8</v>
      </c>
      <c r="F41" s="37">
        <v>199222</v>
      </c>
      <c r="G41" s="37">
        <v>46699</v>
      </c>
      <c r="H41" s="37">
        <v>442</v>
      </c>
      <c r="I41" s="37">
        <v>74534</v>
      </c>
      <c r="J41" s="37">
        <v>24490533</v>
      </c>
      <c r="K41" s="37">
        <v>89700</v>
      </c>
      <c r="L41" s="38">
        <v>2227878</v>
      </c>
    </row>
    <row r="42" spans="1:12" ht="14.25" customHeight="1" x14ac:dyDescent="0.3">
      <c r="A42" s="35">
        <v>41</v>
      </c>
      <c r="B42" s="35">
        <v>1</v>
      </c>
      <c r="C42" s="35">
        <v>2</v>
      </c>
      <c r="D42" s="35"/>
      <c r="E42" s="35">
        <v>9</v>
      </c>
      <c r="F42" s="35">
        <v>199223</v>
      </c>
      <c r="G42" s="35">
        <v>46700</v>
      </c>
      <c r="H42" s="35">
        <v>442</v>
      </c>
      <c r="I42" s="35">
        <v>74535</v>
      </c>
      <c r="J42" s="35">
        <v>24490536</v>
      </c>
      <c r="K42" s="35">
        <v>89700</v>
      </c>
      <c r="L42" s="36">
        <v>2227878</v>
      </c>
    </row>
    <row r="43" spans="1:12" ht="14.25" customHeight="1" x14ac:dyDescent="0.3">
      <c r="A43" s="37">
        <v>42</v>
      </c>
      <c r="B43" s="37">
        <v>1</v>
      </c>
      <c r="C43" s="37">
        <v>2</v>
      </c>
      <c r="D43" s="37"/>
      <c r="E43" s="37">
        <v>10</v>
      </c>
      <c r="F43" s="37">
        <v>199224</v>
      </c>
      <c r="G43" s="37">
        <v>46701</v>
      </c>
      <c r="H43" s="37">
        <v>442</v>
      </c>
      <c r="I43" s="37">
        <v>74536</v>
      </c>
      <c r="J43" s="37">
        <v>24491928</v>
      </c>
      <c r="K43" s="37">
        <v>89700</v>
      </c>
      <c r="L43" s="38">
        <v>2227878</v>
      </c>
    </row>
    <row r="44" spans="1:12" ht="14.25" customHeight="1" x14ac:dyDescent="0.3">
      <c r="A44" s="35">
        <v>43</v>
      </c>
      <c r="B44" s="35">
        <v>1</v>
      </c>
      <c r="C44" s="35">
        <v>2</v>
      </c>
      <c r="D44" s="35"/>
      <c r="E44" s="35">
        <v>11</v>
      </c>
      <c r="F44" s="35">
        <v>199225</v>
      </c>
      <c r="G44" s="35">
        <v>46702</v>
      </c>
      <c r="H44" s="35">
        <v>442</v>
      </c>
      <c r="I44" s="35">
        <v>74537</v>
      </c>
      <c r="J44" s="35">
        <v>244901929</v>
      </c>
      <c r="K44" s="35">
        <v>89700</v>
      </c>
      <c r="L44" s="36">
        <v>2227878</v>
      </c>
    </row>
    <row r="45" spans="1:12" ht="14.25" customHeight="1" x14ac:dyDescent="0.3">
      <c r="A45" s="37">
        <v>44</v>
      </c>
      <c r="B45" s="37">
        <v>1</v>
      </c>
      <c r="C45" s="37">
        <v>2</v>
      </c>
      <c r="D45" s="37"/>
      <c r="E45" s="37">
        <v>12</v>
      </c>
      <c r="F45" s="37">
        <v>199226</v>
      </c>
      <c r="G45" s="37">
        <v>46703</v>
      </c>
      <c r="H45" s="37">
        <v>442</v>
      </c>
      <c r="I45" s="37">
        <v>74538</v>
      </c>
      <c r="J45" s="37">
        <v>244901930</v>
      </c>
      <c r="K45" s="37">
        <v>89700</v>
      </c>
      <c r="L45" s="38">
        <v>2227878</v>
      </c>
    </row>
    <row r="46" spans="1:12" ht="14.25" customHeight="1" x14ac:dyDescent="0.3">
      <c r="A46" s="35">
        <v>45</v>
      </c>
      <c r="B46" s="35">
        <v>1</v>
      </c>
      <c r="C46" s="35">
        <v>2</v>
      </c>
      <c r="D46" s="35"/>
      <c r="E46" s="35">
        <v>13</v>
      </c>
      <c r="F46" s="35">
        <v>199227</v>
      </c>
      <c r="G46" s="35">
        <v>46704</v>
      </c>
      <c r="H46" s="35">
        <v>442</v>
      </c>
      <c r="I46" s="35">
        <v>74539</v>
      </c>
      <c r="J46" s="35">
        <v>244901931</v>
      </c>
      <c r="K46" s="35">
        <v>89700</v>
      </c>
      <c r="L46" s="36">
        <v>2227878</v>
      </c>
    </row>
    <row r="47" spans="1:12" ht="14.25" customHeight="1" x14ac:dyDescent="0.3">
      <c r="A47" s="37">
        <v>46</v>
      </c>
      <c r="B47" s="37">
        <v>1</v>
      </c>
      <c r="C47" s="37">
        <v>2</v>
      </c>
      <c r="D47" s="37"/>
      <c r="E47" s="37">
        <v>14</v>
      </c>
      <c r="F47" s="37">
        <v>199228</v>
      </c>
      <c r="G47" s="37">
        <v>46705</v>
      </c>
      <c r="H47" s="37">
        <v>442</v>
      </c>
      <c r="I47" s="37">
        <v>74540</v>
      </c>
      <c r="J47" s="37">
        <v>24505602</v>
      </c>
      <c r="K47" s="37">
        <v>89700</v>
      </c>
      <c r="L47" s="38">
        <v>2227878</v>
      </c>
    </row>
    <row r="48" spans="1:12" ht="14.25" customHeight="1" x14ac:dyDescent="0.3">
      <c r="A48" s="35">
        <v>47</v>
      </c>
      <c r="B48" s="35">
        <v>1</v>
      </c>
      <c r="C48" s="35">
        <v>2</v>
      </c>
      <c r="D48" s="35"/>
      <c r="E48" s="35">
        <v>15</v>
      </c>
      <c r="F48" s="35">
        <v>199229</v>
      </c>
      <c r="G48" s="35">
        <v>46706</v>
      </c>
      <c r="H48" s="35">
        <v>442</v>
      </c>
      <c r="I48" s="35">
        <v>74541</v>
      </c>
      <c r="J48" s="35">
        <v>24505603</v>
      </c>
      <c r="K48" s="35">
        <v>93432</v>
      </c>
      <c r="L48" s="36">
        <v>2320570</v>
      </c>
    </row>
    <row r="49" spans="1:12" ht="14.25" customHeight="1" x14ac:dyDescent="0.3">
      <c r="A49" s="37">
        <v>48</v>
      </c>
      <c r="B49" s="37">
        <v>1</v>
      </c>
      <c r="C49" s="37">
        <v>2</v>
      </c>
      <c r="D49" s="37"/>
      <c r="E49" s="37">
        <v>16</v>
      </c>
      <c r="F49" s="37">
        <v>199230</v>
      </c>
      <c r="G49" s="37">
        <v>46707</v>
      </c>
      <c r="H49" s="37">
        <v>442</v>
      </c>
      <c r="I49" s="37">
        <v>74542</v>
      </c>
      <c r="J49" s="37">
        <v>24491935</v>
      </c>
      <c r="K49" s="37">
        <v>75114</v>
      </c>
      <c r="L49" s="38">
        <v>1865606</v>
      </c>
    </row>
    <row r="50" spans="1:12" ht="14.25" customHeight="1" x14ac:dyDescent="0.3">
      <c r="A50" s="35">
        <v>49</v>
      </c>
      <c r="B50" s="35">
        <v>1</v>
      </c>
      <c r="C50" s="35">
        <v>2</v>
      </c>
      <c r="D50" s="35"/>
      <c r="E50" s="35">
        <v>17</v>
      </c>
      <c r="F50" s="35">
        <v>199231</v>
      </c>
      <c r="G50" s="35">
        <v>76707</v>
      </c>
      <c r="H50" s="35">
        <v>442</v>
      </c>
      <c r="I50" s="35">
        <v>74543</v>
      </c>
      <c r="J50" s="35">
        <v>24505622</v>
      </c>
      <c r="K50" s="35">
        <v>75114</v>
      </c>
      <c r="L50" s="36">
        <v>1865606</v>
      </c>
    </row>
    <row r="51" spans="1:12" ht="14.25" customHeight="1" x14ac:dyDescent="0.3">
      <c r="A51" s="37">
        <v>50</v>
      </c>
      <c r="B51" s="37">
        <v>1</v>
      </c>
      <c r="C51" s="37">
        <v>2</v>
      </c>
      <c r="D51" s="37"/>
      <c r="E51" s="37">
        <v>18</v>
      </c>
      <c r="F51" s="37">
        <v>199232</v>
      </c>
      <c r="G51" s="37">
        <v>46709</v>
      </c>
      <c r="H51" s="37">
        <v>442</v>
      </c>
      <c r="I51" s="37">
        <v>74544</v>
      </c>
      <c r="J51" s="37">
        <v>24491937</v>
      </c>
      <c r="K51" s="37">
        <v>75114</v>
      </c>
      <c r="L51" s="38">
        <v>1865606</v>
      </c>
    </row>
    <row r="52" spans="1:12" ht="14.25" customHeight="1" x14ac:dyDescent="0.3">
      <c r="A52" s="35">
        <v>51</v>
      </c>
      <c r="B52" s="35">
        <v>1</v>
      </c>
      <c r="C52" s="35">
        <v>2</v>
      </c>
      <c r="D52" s="35"/>
      <c r="E52" s="35">
        <v>19</v>
      </c>
      <c r="F52" s="35">
        <v>199233</v>
      </c>
      <c r="G52" s="35">
        <v>46710</v>
      </c>
      <c r="H52" s="35">
        <v>442</v>
      </c>
      <c r="I52" s="35">
        <v>74545</v>
      </c>
      <c r="J52" s="35">
        <v>24505624</v>
      </c>
      <c r="K52" s="35">
        <v>75114</v>
      </c>
      <c r="L52" s="36">
        <v>1865606</v>
      </c>
    </row>
    <row r="53" spans="1:12" ht="14.25" customHeight="1" x14ac:dyDescent="0.3">
      <c r="A53" s="37">
        <v>52</v>
      </c>
      <c r="B53" s="37">
        <v>1</v>
      </c>
      <c r="C53" s="37">
        <v>2</v>
      </c>
      <c r="D53" s="37"/>
      <c r="E53" s="37">
        <v>20</v>
      </c>
      <c r="F53" s="37">
        <v>199234</v>
      </c>
      <c r="G53" s="37">
        <v>46711</v>
      </c>
      <c r="H53" s="37">
        <v>442</v>
      </c>
      <c r="I53" s="37">
        <v>74546</v>
      </c>
      <c r="J53" s="37">
        <v>24491939</v>
      </c>
      <c r="K53" s="37">
        <v>93432</v>
      </c>
      <c r="L53" s="38">
        <v>2320570</v>
      </c>
    </row>
    <row r="54" spans="1:12" ht="14.25" customHeight="1" x14ac:dyDescent="0.3">
      <c r="A54" s="35">
        <v>53</v>
      </c>
      <c r="B54" s="35">
        <v>1</v>
      </c>
      <c r="C54" s="35">
        <v>2</v>
      </c>
      <c r="D54" s="35"/>
      <c r="E54" s="35">
        <v>21</v>
      </c>
      <c r="F54" s="35">
        <v>199235</v>
      </c>
      <c r="G54" s="35">
        <v>46712</v>
      </c>
      <c r="H54" s="35">
        <v>442</v>
      </c>
      <c r="I54" s="35">
        <v>74547</v>
      </c>
      <c r="J54" s="35">
        <v>24491940</v>
      </c>
      <c r="K54" s="35">
        <v>89700</v>
      </c>
      <c r="L54" s="36">
        <v>2227878</v>
      </c>
    </row>
    <row r="55" spans="1:12" ht="14.25" customHeight="1" x14ac:dyDescent="0.3">
      <c r="A55" s="37">
        <v>54</v>
      </c>
      <c r="B55" s="37">
        <v>1</v>
      </c>
      <c r="C55" s="37">
        <v>2</v>
      </c>
      <c r="D55" s="37"/>
      <c r="E55" s="37">
        <v>22</v>
      </c>
      <c r="F55" s="37">
        <v>199236</v>
      </c>
      <c r="G55" s="37">
        <v>46713</v>
      </c>
      <c r="H55" s="37">
        <v>442</v>
      </c>
      <c r="I55" s="37">
        <v>74548</v>
      </c>
      <c r="J55" s="37">
        <v>24491941</v>
      </c>
      <c r="K55" s="37">
        <v>161460</v>
      </c>
      <c r="L55" s="38">
        <v>4010182</v>
      </c>
    </row>
    <row r="56" spans="1:12" ht="14.25" customHeight="1" x14ac:dyDescent="0.3">
      <c r="A56" s="35">
        <v>55</v>
      </c>
      <c r="B56" s="35">
        <v>1</v>
      </c>
      <c r="C56" s="35">
        <v>2</v>
      </c>
      <c r="D56" s="35"/>
      <c r="E56" s="35">
        <v>23</v>
      </c>
      <c r="F56" s="35">
        <v>199237</v>
      </c>
      <c r="G56" s="35">
        <v>46714</v>
      </c>
      <c r="H56" s="35">
        <v>442</v>
      </c>
      <c r="I56" s="35">
        <v>74549</v>
      </c>
      <c r="J56" s="35">
        <v>24505685</v>
      </c>
      <c r="K56" s="35">
        <v>89700</v>
      </c>
      <c r="L56" s="36">
        <v>2227878</v>
      </c>
    </row>
    <row r="57" spans="1:12" ht="14.25" customHeight="1" x14ac:dyDescent="0.3">
      <c r="A57" s="37">
        <v>56</v>
      </c>
      <c r="B57" s="37">
        <v>1</v>
      </c>
      <c r="C57" s="37">
        <v>2</v>
      </c>
      <c r="D57" s="37"/>
      <c r="E57" s="37">
        <v>24</v>
      </c>
      <c r="F57" s="37">
        <v>199238</v>
      </c>
      <c r="G57" s="37">
        <v>46715</v>
      </c>
      <c r="H57" s="37">
        <v>442</v>
      </c>
      <c r="I57" s="37">
        <v>74550</v>
      </c>
      <c r="J57" s="37">
        <v>24491943</v>
      </c>
      <c r="K57" s="37">
        <v>89700</v>
      </c>
      <c r="L57" s="38">
        <v>2227878</v>
      </c>
    </row>
    <row r="58" spans="1:12" ht="14.25" customHeight="1" x14ac:dyDescent="0.3">
      <c r="A58" s="35">
        <v>57</v>
      </c>
      <c r="B58" s="35">
        <v>1</v>
      </c>
      <c r="C58" s="35">
        <v>2</v>
      </c>
      <c r="D58" s="35"/>
      <c r="E58" s="35">
        <v>25</v>
      </c>
      <c r="F58" s="35">
        <v>199239</v>
      </c>
      <c r="G58" s="35">
        <v>46716</v>
      </c>
      <c r="H58" s="35">
        <v>442</v>
      </c>
      <c r="I58" s="35">
        <v>74551</v>
      </c>
      <c r="J58" s="35">
        <v>24491944</v>
      </c>
      <c r="K58" s="35">
        <v>89700</v>
      </c>
      <c r="L58" s="36">
        <v>2227878</v>
      </c>
    </row>
    <row r="59" spans="1:12" ht="14.25" customHeight="1" x14ac:dyDescent="0.3">
      <c r="A59" s="37">
        <v>58</v>
      </c>
      <c r="B59" s="37">
        <v>1</v>
      </c>
      <c r="C59" s="37">
        <v>2</v>
      </c>
      <c r="D59" s="37"/>
      <c r="E59" s="37">
        <v>26</v>
      </c>
      <c r="F59" s="37">
        <v>199240</v>
      </c>
      <c r="G59" s="37">
        <v>46717</v>
      </c>
      <c r="H59" s="37">
        <v>442</v>
      </c>
      <c r="I59" s="37">
        <v>74552</v>
      </c>
      <c r="J59" s="37">
        <v>24491945</v>
      </c>
      <c r="K59" s="37">
        <v>89700</v>
      </c>
      <c r="L59" s="38">
        <v>2227878</v>
      </c>
    </row>
    <row r="60" spans="1:12" ht="14.25" customHeight="1" x14ac:dyDescent="0.3">
      <c r="A60" s="35">
        <v>59</v>
      </c>
      <c r="B60" s="35">
        <v>1</v>
      </c>
      <c r="C60" s="35">
        <v>2</v>
      </c>
      <c r="D60" s="35"/>
      <c r="E60" s="35">
        <v>27</v>
      </c>
      <c r="F60" s="35">
        <v>199241</v>
      </c>
      <c r="G60" s="35">
        <v>46718</v>
      </c>
      <c r="H60" s="35">
        <v>442</v>
      </c>
      <c r="I60" s="35">
        <v>74553</v>
      </c>
      <c r="J60" s="35">
        <v>24491946</v>
      </c>
      <c r="K60" s="35">
        <v>89700</v>
      </c>
      <c r="L60" s="36">
        <v>2227878</v>
      </c>
    </row>
    <row r="61" spans="1:12" ht="14.25" customHeight="1" x14ac:dyDescent="0.3">
      <c r="A61" s="37">
        <v>60</v>
      </c>
      <c r="B61" s="37">
        <v>1</v>
      </c>
      <c r="C61" s="37">
        <v>2</v>
      </c>
      <c r="D61" s="37"/>
      <c r="E61" s="37">
        <v>28</v>
      </c>
      <c r="F61" s="37">
        <v>199242</v>
      </c>
      <c r="G61" s="37">
        <v>46719</v>
      </c>
      <c r="H61" s="37">
        <v>442</v>
      </c>
      <c r="I61" s="37">
        <v>74554</v>
      </c>
      <c r="J61" s="37">
        <v>24491949</v>
      </c>
      <c r="K61" s="37">
        <v>89700</v>
      </c>
      <c r="L61" s="38">
        <v>2227878</v>
      </c>
    </row>
    <row r="62" spans="1:12" ht="14.25" customHeight="1" x14ac:dyDescent="0.3">
      <c r="A62" s="35">
        <v>61</v>
      </c>
      <c r="B62" s="35">
        <v>1</v>
      </c>
      <c r="C62" s="35">
        <v>3</v>
      </c>
      <c r="D62" s="35"/>
      <c r="E62" s="35">
        <v>1</v>
      </c>
      <c r="F62" s="35">
        <v>199500</v>
      </c>
      <c r="G62" s="35">
        <v>46720</v>
      </c>
      <c r="H62" s="35">
        <v>442</v>
      </c>
      <c r="I62" s="35">
        <v>74437</v>
      </c>
      <c r="J62" s="35">
        <v>24491950</v>
      </c>
      <c r="K62" s="35">
        <v>98241</v>
      </c>
      <c r="L62" s="36">
        <v>2440026</v>
      </c>
    </row>
    <row r="63" spans="1:12" ht="14.25" customHeight="1" x14ac:dyDescent="0.3">
      <c r="A63" s="37">
        <v>62</v>
      </c>
      <c r="B63" s="37">
        <v>1</v>
      </c>
      <c r="C63" s="37">
        <v>3</v>
      </c>
      <c r="D63" s="37"/>
      <c r="E63" s="37">
        <v>2</v>
      </c>
      <c r="F63" s="37">
        <v>199501</v>
      </c>
      <c r="G63" s="37">
        <v>46721</v>
      </c>
      <c r="H63" s="37">
        <v>442</v>
      </c>
      <c r="I63" s="37">
        <v>74438</v>
      </c>
      <c r="J63" s="37">
        <v>24491951</v>
      </c>
      <c r="K63" s="37">
        <v>75114</v>
      </c>
      <c r="L63" s="38">
        <v>1865606</v>
      </c>
    </row>
    <row r="64" spans="1:12" ht="14.25" customHeight="1" x14ac:dyDescent="0.3">
      <c r="A64" s="35">
        <v>63</v>
      </c>
      <c r="B64" s="35">
        <v>1</v>
      </c>
      <c r="C64" s="35">
        <v>3</v>
      </c>
      <c r="D64" s="35"/>
      <c r="E64" s="35">
        <v>4</v>
      </c>
      <c r="F64" s="35">
        <v>199503</v>
      </c>
      <c r="G64" s="35">
        <v>46723</v>
      </c>
      <c r="H64" s="35">
        <v>442</v>
      </c>
      <c r="I64" s="35">
        <v>74439</v>
      </c>
      <c r="J64" s="35">
        <v>24491953</v>
      </c>
      <c r="K64" s="35">
        <v>75114</v>
      </c>
      <c r="L64" s="36">
        <v>1865606</v>
      </c>
    </row>
    <row r="65" spans="1:12" ht="14.25" customHeight="1" x14ac:dyDescent="0.3">
      <c r="A65" s="37">
        <v>64</v>
      </c>
      <c r="B65" s="37">
        <v>1</v>
      </c>
      <c r="C65" s="37">
        <v>3</v>
      </c>
      <c r="D65" s="37"/>
      <c r="E65" s="37">
        <v>5</v>
      </c>
      <c r="F65" s="37">
        <v>199504</v>
      </c>
      <c r="G65" s="37">
        <v>46724</v>
      </c>
      <c r="H65" s="37">
        <v>442</v>
      </c>
      <c r="I65" s="37">
        <v>74440</v>
      </c>
      <c r="J65" s="37">
        <v>24491954</v>
      </c>
      <c r="K65" s="37">
        <v>75114</v>
      </c>
      <c r="L65" s="38">
        <v>1865606</v>
      </c>
    </row>
    <row r="66" spans="1:12" ht="14.25" customHeight="1" x14ac:dyDescent="0.3">
      <c r="A66" s="35">
        <v>65</v>
      </c>
      <c r="B66" s="35">
        <v>1</v>
      </c>
      <c r="C66" s="35">
        <v>3</v>
      </c>
      <c r="D66" s="35"/>
      <c r="E66" s="35">
        <v>6</v>
      </c>
      <c r="F66" s="35">
        <v>199505</v>
      </c>
      <c r="G66" s="35">
        <v>46725</v>
      </c>
      <c r="H66" s="35">
        <v>442</v>
      </c>
      <c r="I66" s="35">
        <v>74441</v>
      </c>
      <c r="J66" s="35">
        <v>24491956</v>
      </c>
      <c r="K66" s="35">
        <v>98241</v>
      </c>
      <c r="L66" s="36">
        <v>2440026</v>
      </c>
    </row>
    <row r="67" spans="1:12" ht="14.25" customHeight="1" x14ac:dyDescent="0.3">
      <c r="A67" s="37">
        <v>66</v>
      </c>
      <c r="B67" s="37">
        <v>1</v>
      </c>
      <c r="C67" s="37">
        <v>3</v>
      </c>
      <c r="D67" s="37"/>
      <c r="E67" s="37">
        <v>7</v>
      </c>
      <c r="F67" s="37">
        <v>199506</v>
      </c>
      <c r="G67" s="37">
        <v>46726</v>
      </c>
      <c r="H67" s="37">
        <v>442</v>
      </c>
      <c r="I67" s="37">
        <v>74442</v>
      </c>
      <c r="J67" s="37">
        <v>24491957</v>
      </c>
      <c r="K67" s="37">
        <v>89700</v>
      </c>
      <c r="L67" s="38">
        <v>2227878</v>
      </c>
    </row>
    <row r="68" spans="1:12" ht="14.25" customHeight="1" x14ac:dyDescent="0.3">
      <c r="A68" s="35">
        <v>67</v>
      </c>
      <c r="B68" s="35">
        <v>1</v>
      </c>
      <c r="C68" s="35">
        <v>3</v>
      </c>
      <c r="D68" s="35"/>
      <c r="E68" s="35">
        <v>8</v>
      </c>
      <c r="F68" s="35">
        <v>199507</v>
      </c>
      <c r="G68" s="35">
        <v>46727</v>
      </c>
      <c r="H68" s="35">
        <v>442</v>
      </c>
      <c r="I68" s="35">
        <v>74443</v>
      </c>
      <c r="J68" s="35">
        <v>24491958</v>
      </c>
      <c r="K68" s="35">
        <v>89700</v>
      </c>
      <c r="L68" s="36">
        <v>2227878</v>
      </c>
    </row>
    <row r="69" spans="1:12" ht="14.25" customHeight="1" x14ac:dyDescent="0.3">
      <c r="A69" s="37">
        <v>68</v>
      </c>
      <c r="B69" s="37">
        <v>1</v>
      </c>
      <c r="C69" s="37">
        <v>3</v>
      </c>
      <c r="D69" s="37"/>
      <c r="E69" s="37">
        <v>9</v>
      </c>
      <c r="F69" s="37">
        <v>199508</v>
      </c>
      <c r="G69" s="37">
        <v>46728</v>
      </c>
      <c r="H69" s="37">
        <v>442</v>
      </c>
      <c r="I69" s="37">
        <v>74444</v>
      </c>
      <c r="J69" s="37">
        <v>24491959</v>
      </c>
      <c r="K69" s="37">
        <v>89700</v>
      </c>
      <c r="L69" s="38">
        <v>2227878</v>
      </c>
    </row>
    <row r="70" spans="1:12" ht="14.25" customHeight="1" x14ac:dyDescent="0.3">
      <c r="A70" s="35">
        <v>69</v>
      </c>
      <c r="B70" s="35">
        <v>1</v>
      </c>
      <c r="C70" s="35">
        <v>3</v>
      </c>
      <c r="D70" s="35"/>
      <c r="E70" s="35">
        <v>10</v>
      </c>
      <c r="F70" s="35">
        <v>199509</v>
      </c>
      <c r="G70" s="35" t="s">
        <v>27</v>
      </c>
      <c r="H70" s="35">
        <v>442</v>
      </c>
      <c r="I70" s="35">
        <v>74445</v>
      </c>
      <c r="J70" s="35">
        <v>24491960</v>
      </c>
      <c r="K70" s="35">
        <v>89700</v>
      </c>
      <c r="L70" s="36">
        <v>2227878</v>
      </c>
    </row>
    <row r="71" spans="1:12" ht="14.25" customHeight="1" x14ac:dyDescent="0.3">
      <c r="A71" s="37">
        <v>70</v>
      </c>
      <c r="B71" s="37">
        <v>1</v>
      </c>
      <c r="C71" s="37">
        <v>3</v>
      </c>
      <c r="D71" s="37"/>
      <c r="E71" s="37">
        <v>11</v>
      </c>
      <c r="F71" s="37">
        <v>199510</v>
      </c>
      <c r="G71" s="37">
        <v>46729</v>
      </c>
      <c r="H71" s="37">
        <v>442</v>
      </c>
      <c r="I71" s="37">
        <v>74446</v>
      </c>
      <c r="J71" s="37">
        <v>24491961</v>
      </c>
      <c r="K71" s="37">
        <v>89700</v>
      </c>
      <c r="L71" s="38">
        <v>2227878</v>
      </c>
    </row>
    <row r="72" spans="1:12" ht="14.25" customHeight="1" x14ac:dyDescent="0.3">
      <c r="A72" s="35">
        <v>71</v>
      </c>
      <c r="B72" s="35">
        <v>1</v>
      </c>
      <c r="C72" s="35">
        <v>3</v>
      </c>
      <c r="D72" s="35"/>
      <c r="E72" s="35">
        <v>12</v>
      </c>
      <c r="F72" s="35">
        <v>199511</v>
      </c>
      <c r="G72" s="35">
        <v>46730</v>
      </c>
      <c r="H72" s="35">
        <v>442</v>
      </c>
      <c r="I72" s="35">
        <v>74447</v>
      </c>
      <c r="J72" s="35">
        <v>24491962</v>
      </c>
      <c r="K72" s="35">
        <v>89700</v>
      </c>
      <c r="L72" s="36">
        <v>2227878</v>
      </c>
    </row>
    <row r="73" spans="1:12" ht="14.25" customHeight="1" x14ac:dyDescent="0.3">
      <c r="A73" s="37">
        <v>72</v>
      </c>
      <c r="B73" s="37">
        <v>1</v>
      </c>
      <c r="C73" s="37">
        <v>3</v>
      </c>
      <c r="D73" s="37"/>
      <c r="E73" s="37">
        <v>14</v>
      </c>
      <c r="F73" s="37">
        <v>199513</v>
      </c>
      <c r="G73" s="37">
        <v>46732</v>
      </c>
      <c r="H73" s="37">
        <v>442</v>
      </c>
      <c r="I73" s="37">
        <v>74448</v>
      </c>
      <c r="J73" s="37">
        <v>24491965</v>
      </c>
      <c r="K73" s="37">
        <v>89700</v>
      </c>
      <c r="L73" s="38">
        <v>2227878</v>
      </c>
    </row>
    <row r="74" spans="1:12" ht="14.25" customHeight="1" x14ac:dyDescent="0.3">
      <c r="A74" s="35">
        <v>73</v>
      </c>
      <c r="B74" s="35">
        <v>1</v>
      </c>
      <c r="C74" s="35">
        <v>3</v>
      </c>
      <c r="D74" s="35"/>
      <c r="E74" s="35">
        <v>15</v>
      </c>
      <c r="F74" s="35">
        <v>199514</v>
      </c>
      <c r="G74" s="35">
        <v>46733</v>
      </c>
      <c r="H74" s="35">
        <v>442</v>
      </c>
      <c r="I74" s="35">
        <v>74449</v>
      </c>
      <c r="J74" s="35">
        <v>24491966</v>
      </c>
      <c r="K74" s="35">
        <v>98241</v>
      </c>
      <c r="L74" s="36">
        <v>2440026</v>
      </c>
    </row>
    <row r="75" spans="1:12" ht="14.25" customHeight="1" x14ac:dyDescent="0.3">
      <c r="A75" s="37">
        <v>74</v>
      </c>
      <c r="B75" s="37">
        <v>1</v>
      </c>
      <c r="C75" s="37">
        <v>3</v>
      </c>
      <c r="D75" s="37"/>
      <c r="E75" s="37">
        <v>16</v>
      </c>
      <c r="F75" s="37">
        <v>199515</v>
      </c>
      <c r="G75" s="37">
        <v>46734</v>
      </c>
      <c r="H75" s="37">
        <v>442</v>
      </c>
      <c r="I75" s="37">
        <v>74450</v>
      </c>
      <c r="J75" s="37">
        <v>24491967</v>
      </c>
      <c r="K75" s="37">
        <v>75114</v>
      </c>
      <c r="L75" s="38">
        <v>1865606</v>
      </c>
    </row>
    <row r="76" spans="1:12" ht="14.25" customHeight="1" x14ac:dyDescent="0.3">
      <c r="A76" s="35">
        <v>75</v>
      </c>
      <c r="B76" s="35">
        <v>1</v>
      </c>
      <c r="C76" s="35">
        <v>3</v>
      </c>
      <c r="D76" s="35"/>
      <c r="E76" s="35">
        <v>17</v>
      </c>
      <c r="F76" s="35">
        <v>199516</v>
      </c>
      <c r="G76" s="35">
        <v>46735</v>
      </c>
      <c r="H76" s="35">
        <v>442</v>
      </c>
      <c r="I76" s="35">
        <v>74451</v>
      </c>
      <c r="J76" s="35">
        <v>24491968</v>
      </c>
      <c r="K76" s="35">
        <v>75114</v>
      </c>
      <c r="L76" s="36">
        <v>1865606</v>
      </c>
    </row>
    <row r="77" spans="1:12" ht="14.25" customHeight="1" x14ac:dyDescent="0.3">
      <c r="A77" s="37">
        <v>76</v>
      </c>
      <c r="B77" s="37">
        <v>1</v>
      </c>
      <c r="C77" s="37">
        <v>3</v>
      </c>
      <c r="D77" s="37"/>
      <c r="E77" s="37">
        <v>18</v>
      </c>
      <c r="F77" s="37">
        <v>199517</v>
      </c>
      <c r="G77" s="37">
        <v>46736</v>
      </c>
      <c r="H77" s="37">
        <v>442</v>
      </c>
      <c r="I77" s="37">
        <v>74452</v>
      </c>
      <c r="J77" s="37">
        <v>24491970</v>
      </c>
      <c r="K77" s="37">
        <v>75114</v>
      </c>
      <c r="L77" s="38">
        <v>1865606</v>
      </c>
    </row>
    <row r="78" spans="1:12" ht="14.25" customHeight="1" x14ac:dyDescent="0.3">
      <c r="A78" s="35">
        <v>77</v>
      </c>
      <c r="B78" s="35">
        <v>1</v>
      </c>
      <c r="C78" s="35">
        <v>3</v>
      </c>
      <c r="D78" s="35"/>
      <c r="E78" s="35">
        <v>19</v>
      </c>
      <c r="F78" s="35">
        <v>199518</v>
      </c>
      <c r="G78" s="35">
        <v>46737</v>
      </c>
      <c r="H78" s="35">
        <v>442</v>
      </c>
      <c r="I78" s="35">
        <v>74453</v>
      </c>
      <c r="J78" s="35">
        <v>24491971</v>
      </c>
      <c r="K78" s="35">
        <v>75114</v>
      </c>
      <c r="L78" s="36">
        <v>1865606</v>
      </c>
    </row>
    <row r="79" spans="1:12" ht="14.25" customHeight="1" x14ac:dyDescent="0.3">
      <c r="A79" s="37">
        <v>78</v>
      </c>
      <c r="B79" s="37">
        <v>1</v>
      </c>
      <c r="C79" s="37">
        <v>3</v>
      </c>
      <c r="D79" s="37"/>
      <c r="E79" s="37">
        <v>20</v>
      </c>
      <c r="F79" s="37">
        <v>199519</v>
      </c>
      <c r="G79" s="37">
        <v>46738</v>
      </c>
      <c r="H79" s="37">
        <v>442</v>
      </c>
      <c r="I79" s="37">
        <v>74454</v>
      </c>
      <c r="J79" s="37">
        <v>24491972</v>
      </c>
      <c r="K79" s="37">
        <v>98241</v>
      </c>
      <c r="L79" s="38">
        <v>2440026</v>
      </c>
    </row>
    <row r="80" spans="1:12" ht="14.25" customHeight="1" x14ac:dyDescent="0.3">
      <c r="A80" s="35">
        <v>79</v>
      </c>
      <c r="B80" s="35">
        <v>1</v>
      </c>
      <c r="C80" s="35">
        <v>3</v>
      </c>
      <c r="D80" s="35"/>
      <c r="E80" s="35">
        <v>21</v>
      </c>
      <c r="F80" s="35">
        <v>199520</v>
      </c>
      <c r="G80" s="35">
        <v>46739</v>
      </c>
      <c r="H80" s="35">
        <v>442</v>
      </c>
      <c r="I80" s="35">
        <v>74455</v>
      </c>
      <c r="J80" s="35">
        <v>24491973</v>
      </c>
      <c r="K80" s="35">
        <v>89700</v>
      </c>
      <c r="L80" s="36">
        <v>2227878</v>
      </c>
    </row>
    <row r="81" spans="1:12" ht="14.25" customHeight="1" x14ac:dyDescent="0.3">
      <c r="A81" s="37">
        <v>80</v>
      </c>
      <c r="B81" s="37">
        <v>1</v>
      </c>
      <c r="C81" s="37">
        <v>3</v>
      </c>
      <c r="D81" s="37"/>
      <c r="E81" s="37">
        <v>22</v>
      </c>
      <c r="F81" s="37">
        <v>199521</v>
      </c>
      <c r="G81" s="37">
        <v>46740</v>
      </c>
      <c r="H81" s="37">
        <v>442</v>
      </c>
      <c r="I81" s="37">
        <v>74456</v>
      </c>
      <c r="J81" s="37">
        <v>24491974</v>
      </c>
      <c r="K81" s="37">
        <v>89700</v>
      </c>
      <c r="L81" s="38">
        <v>2227878</v>
      </c>
    </row>
    <row r="82" spans="1:12" ht="14.25" customHeight="1" x14ac:dyDescent="0.3">
      <c r="A82" s="35">
        <v>81</v>
      </c>
      <c r="B82" s="35">
        <v>1</v>
      </c>
      <c r="C82" s="35">
        <v>3</v>
      </c>
      <c r="D82" s="35"/>
      <c r="E82" s="35">
        <v>23</v>
      </c>
      <c r="F82" s="35">
        <v>199522</v>
      </c>
      <c r="G82" s="35">
        <v>46741</v>
      </c>
      <c r="H82" s="35">
        <v>442</v>
      </c>
      <c r="I82" s="35">
        <v>74457</v>
      </c>
      <c r="J82" s="35">
        <v>24491975</v>
      </c>
      <c r="K82" s="35">
        <v>89700</v>
      </c>
      <c r="L82" s="36">
        <v>2227878</v>
      </c>
    </row>
    <row r="83" spans="1:12" ht="14.25" customHeight="1" x14ac:dyDescent="0.3">
      <c r="A83" s="37">
        <v>82</v>
      </c>
      <c r="B83" s="37">
        <v>1</v>
      </c>
      <c r="C83" s="37">
        <v>3</v>
      </c>
      <c r="D83" s="37"/>
      <c r="E83" s="37">
        <v>24</v>
      </c>
      <c r="F83" s="37">
        <v>199523</v>
      </c>
      <c r="G83" s="37">
        <v>46742</v>
      </c>
      <c r="H83" s="37">
        <v>442</v>
      </c>
      <c r="I83" s="37">
        <v>74458</v>
      </c>
      <c r="J83" s="37">
        <v>24491976</v>
      </c>
      <c r="K83" s="37">
        <v>89700</v>
      </c>
      <c r="L83" s="38">
        <v>2227878</v>
      </c>
    </row>
    <row r="84" spans="1:12" ht="14.25" customHeight="1" x14ac:dyDescent="0.3">
      <c r="A84" s="35">
        <v>83</v>
      </c>
      <c r="B84" s="35">
        <v>1</v>
      </c>
      <c r="C84" s="35">
        <v>3</v>
      </c>
      <c r="D84" s="35"/>
      <c r="E84" s="35">
        <v>25</v>
      </c>
      <c r="F84" s="35">
        <v>199524</v>
      </c>
      <c r="G84" s="35">
        <v>46743</v>
      </c>
      <c r="H84" s="35">
        <v>442</v>
      </c>
      <c r="I84" s="35">
        <v>74459</v>
      </c>
      <c r="J84" s="35">
        <v>24491977</v>
      </c>
      <c r="K84" s="35">
        <v>89700</v>
      </c>
      <c r="L84" s="36">
        <v>2227878</v>
      </c>
    </row>
    <row r="85" spans="1:12" ht="14.25" customHeight="1" x14ac:dyDescent="0.3">
      <c r="A85" s="37">
        <v>84</v>
      </c>
      <c r="B85" s="37">
        <v>1</v>
      </c>
      <c r="C85" s="37">
        <v>3</v>
      </c>
      <c r="D85" s="37"/>
      <c r="E85" s="37">
        <v>26</v>
      </c>
      <c r="F85" s="37">
        <v>199525</v>
      </c>
      <c r="G85" s="37">
        <v>46744</v>
      </c>
      <c r="H85" s="37">
        <v>442</v>
      </c>
      <c r="I85" s="37">
        <v>74460</v>
      </c>
      <c r="J85" s="37">
        <v>24491978</v>
      </c>
      <c r="K85" s="37">
        <v>89700</v>
      </c>
      <c r="L85" s="38">
        <v>2227878</v>
      </c>
    </row>
    <row r="86" spans="1:12" ht="14.25" customHeight="1" x14ac:dyDescent="0.3">
      <c r="A86" s="35">
        <v>85</v>
      </c>
      <c r="B86" s="35">
        <v>1</v>
      </c>
      <c r="C86" s="35">
        <v>3</v>
      </c>
      <c r="D86" s="35"/>
      <c r="E86" s="35">
        <v>27</v>
      </c>
      <c r="F86" s="35">
        <v>199526</v>
      </c>
      <c r="G86" s="35">
        <v>46745</v>
      </c>
      <c r="H86" s="35">
        <v>442</v>
      </c>
      <c r="I86" s="35">
        <v>74461</v>
      </c>
      <c r="J86" s="35">
        <v>24491979</v>
      </c>
      <c r="K86" s="35">
        <v>89700</v>
      </c>
      <c r="L86" s="36">
        <v>2227878</v>
      </c>
    </row>
    <row r="87" spans="1:12" ht="14.25" customHeight="1" x14ac:dyDescent="0.3">
      <c r="A87" s="37">
        <v>86</v>
      </c>
      <c r="B87" s="37">
        <v>1</v>
      </c>
      <c r="C87" s="37">
        <v>3</v>
      </c>
      <c r="D87" s="37"/>
      <c r="E87" s="37">
        <v>28</v>
      </c>
      <c r="F87" s="37">
        <v>199527</v>
      </c>
      <c r="G87" s="37">
        <v>46746</v>
      </c>
      <c r="H87" s="37">
        <v>442</v>
      </c>
      <c r="I87" s="37">
        <v>74462</v>
      </c>
      <c r="J87" s="37">
        <v>24491980</v>
      </c>
      <c r="K87" s="37">
        <v>89700</v>
      </c>
      <c r="L87" s="38">
        <v>2227878</v>
      </c>
    </row>
    <row r="88" spans="1:12" ht="14.25" customHeight="1" x14ac:dyDescent="0.3">
      <c r="A88" s="35">
        <v>87</v>
      </c>
      <c r="B88" s="35">
        <v>1</v>
      </c>
      <c r="C88" s="35">
        <v>31</v>
      </c>
      <c r="D88" s="35"/>
      <c r="E88" s="35">
        <v>1</v>
      </c>
      <c r="F88" s="35">
        <v>199558</v>
      </c>
      <c r="G88" s="35">
        <v>46815</v>
      </c>
      <c r="H88" s="35">
        <v>442</v>
      </c>
      <c r="I88" s="35">
        <v>74484</v>
      </c>
      <c r="J88" s="35">
        <v>24492167</v>
      </c>
      <c r="K88" s="35">
        <v>99099</v>
      </c>
      <c r="L88" s="36">
        <v>2461336</v>
      </c>
    </row>
    <row r="89" spans="1:12" ht="14.25" customHeight="1" x14ac:dyDescent="0.3">
      <c r="A89" s="37">
        <v>88</v>
      </c>
      <c r="B89" s="37">
        <v>1</v>
      </c>
      <c r="C89" s="37">
        <v>31</v>
      </c>
      <c r="D89" s="37"/>
      <c r="E89" s="37">
        <v>2</v>
      </c>
      <c r="F89" s="37">
        <v>199559</v>
      </c>
      <c r="G89" s="37">
        <v>46816</v>
      </c>
      <c r="H89" s="37">
        <v>442</v>
      </c>
      <c r="I89" s="37">
        <v>74485</v>
      </c>
      <c r="J89" s="37">
        <v>24492170</v>
      </c>
      <c r="K89" s="37">
        <v>75114</v>
      </c>
      <c r="L89" s="38">
        <v>1865606</v>
      </c>
    </row>
    <row r="90" spans="1:12" ht="14.25" customHeight="1" x14ac:dyDescent="0.3">
      <c r="A90" s="35">
        <v>89</v>
      </c>
      <c r="B90" s="35">
        <v>1</v>
      </c>
      <c r="C90" s="35">
        <v>31</v>
      </c>
      <c r="D90" s="35"/>
      <c r="E90" s="35">
        <v>3</v>
      </c>
      <c r="F90" s="35">
        <v>199560</v>
      </c>
      <c r="G90" s="35">
        <v>46817</v>
      </c>
      <c r="H90" s="35">
        <v>442</v>
      </c>
      <c r="I90" s="35">
        <v>74486</v>
      </c>
      <c r="J90" s="35">
        <v>24492173</v>
      </c>
      <c r="K90" s="35">
        <v>75114</v>
      </c>
      <c r="L90" s="36">
        <v>1865606</v>
      </c>
    </row>
    <row r="91" spans="1:12" ht="14.25" customHeight="1" x14ac:dyDescent="0.3">
      <c r="A91" s="37">
        <v>90</v>
      </c>
      <c r="B91" s="37">
        <v>1</v>
      </c>
      <c r="C91" s="37">
        <v>31</v>
      </c>
      <c r="D91" s="37"/>
      <c r="E91" s="37">
        <v>4</v>
      </c>
      <c r="F91" s="37">
        <v>199561</v>
      </c>
      <c r="G91" s="37">
        <v>46818</v>
      </c>
      <c r="H91" s="37">
        <v>442</v>
      </c>
      <c r="I91" s="37">
        <v>74487</v>
      </c>
      <c r="J91" s="37">
        <v>24492175</v>
      </c>
      <c r="K91" s="37">
        <v>75114</v>
      </c>
      <c r="L91" s="38">
        <v>1865606</v>
      </c>
    </row>
    <row r="92" spans="1:12" ht="14.25" customHeight="1" x14ac:dyDescent="0.3">
      <c r="A92" s="35">
        <v>91</v>
      </c>
      <c r="B92" s="35">
        <v>1</v>
      </c>
      <c r="C92" s="35">
        <v>31</v>
      </c>
      <c r="D92" s="35"/>
      <c r="E92" s="35">
        <v>5</v>
      </c>
      <c r="F92" s="35">
        <v>199562</v>
      </c>
      <c r="G92" s="35">
        <v>46819</v>
      </c>
      <c r="H92" s="35">
        <v>442</v>
      </c>
      <c r="I92" s="35">
        <v>74488</v>
      </c>
      <c r="J92" s="35">
        <v>24492178</v>
      </c>
      <c r="K92" s="35">
        <v>75114</v>
      </c>
      <c r="L92" s="36">
        <v>1865606</v>
      </c>
    </row>
    <row r="93" spans="1:12" ht="14.25" customHeight="1" x14ac:dyDescent="0.3">
      <c r="A93" s="37">
        <v>92</v>
      </c>
      <c r="B93" s="37">
        <v>1</v>
      </c>
      <c r="C93" s="37">
        <v>31</v>
      </c>
      <c r="D93" s="37"/>
      <c r="E93" s="37">
        <v>6</v>
      </c>
      <c r="F93" s="37">
        <v>199563</v>
      </c>
      <c r="G93" s="37">
        <v>46820</v>
      </c>
      <c r="H93" s="37">
        <v>442</v>
      </c>
      <c r="I93" s="37">
        <v>74489</v>
      </c>
      <c r="J93" s="37">
        <v>24492180</v>
      </c>
      <c r="K93" s="37">
        <v>75114</v>
      </c>
      <c r="L93" s="38">
        <v>1865606</v>
      </c>
    </row>
    <row r="94" spans="1:12" ht="14.25" customHeight="1" x14ac:dyDescent="0.3">
      <c r="A94" s="35">
        <v>93</v>
      </c>
      <c r="B94" s="35">
        <v>1</v>
      </c>
      <c r="C94" s="35">
        <v>31</v>
      </c>
      <c r="D94" s="35"/>
      <c r="E94" s="35">
        <v>10</v>
      </c>
      <c r="F94" s="35">
        <v>199567</v>
      </c>
      <c r="G94" s="35">
        <v>46824</v>
      </c>
      <c r="H94" s="35">
        <v>442</v>
      </c>
      <c r="I94" s="35">
        <v>74490</v>
      </c>
      <c r="J94" s="35">
        <v>24492190</v>
      </c>
      <c r="K94" s="35">
        <v>107460</v>
      </c>
      <c r="L94" s="36">
        <v>2668984</v>
      </c>
    </row>
    <row r="95" spans="1:12" ht="14.25" customHeight="1" x14ac:dyDescent="0.3">
      <c r="A95" s="37">
        <v>94</v>
      </c>
      <c r="B95" s="37">
        <v>1</v>
      </c>
      <c r="C95" s="37">
        <v>31</v>
      </c>
      <c r="D95" s="37"/>
      <c r="E95" s="37">
        <v>11</v>
      </c>
      <c r="F95" s="37">
        <v>199568</v>
      </c>
      <c r="G95" s="37">
        <v>46825</v>
      </c>
      <c r="H95" s="37">
        <v>442</v>
      </c>
      <c r="I95" s="37">
        <v>74491</v>
      </c>
      <c r="J95" s="37">
        <v>24492194</v>
      </c>
      <c r="K95" s="37">
        <v>107460</v>
      </c>
      <c r="L95" s="38">
        <v>2668984</v>
      </c>
    </row>
    <row r="96" spans="1:12" ht="14.25" customHeight="1" x14ac:dyDescent="0.3">
      <c r="A96" s="35">
        <v>95</v>
      </c>
      <c r="B96" s="35">
        <v>1</v>
      </c>
      <c r="C96" s="35">
        <v>31</v>
      </c>
      <c r="D96" s="35"/>
      <c r="E96" s="35">
        <v>12</v>
      </c>
      <c r="F96" s="35">
        <v>199569</v>
      </c>
      <c r="G96" s="35">
        <v>46826</v>
      </c>
      <c r="H96" s="35">
        <v>442</v>
      </c>
      <c r="I96" s="35">
        <v>74492</v>
      </c>
      <c r="J96" s="35">
        <v>24492197</v>
      </c>
      <c r="K96" s="35">
        <v>107460</v>
      </c>
      <c r="L96" s="36">
        <v>2668984</v>
      </c>
    </row>
    <row r="97" spans="1:12" ht="14.25" customHeight="1" x14ac:dyDescent="0.3">
      <c r="A97" s="37">
        <v>96</v>
      </c>
      <c r="B97" s="37">
        <v>1</v>
      </c>
      <c r="C97" s="37">
        <v>31</v>
      </c>
      <c r="D97" s="37"/>
      <c r="E97" s="37">
        <v>13</v>
      </c>
      <c r="F97" s="37">
        <v>199570</v>
      </c>
      <c r="G97" s="37">
        <v>46827</v>
      </c>
      <c r="H97" s="37">
        <v>442</v>
      </c>
      <c r="I97" s="37">
        <v>74493</v>
      </c>
      <c r="J97" s="37">
        <v>24492202</v>
      </c>
      <c r="K97" s="37">
        <v>107460</v>
      </c>
      <c r="L97" s="38">
        <v>2668984</v>
      </c>
    </row>
    <row r="98" spans="1:12" ht="14.25" customHeight="1" x14ac:dyDescent="0.3">
      <c r="A98" s="35">
        <v>97</v>
      </c>
      <c r="B98" s="35">
        <v>1</v>
      </c>
      <c r="C98" s="35">
        <v>31</v>
      </c>
      <c r="D98" s="35"/>
      <c r="E98" s="35">
        <v>14</v>
      </c>
      <c r="F98" s="35">
        <v>199571</v>
      </c>
      <c r="G98" s="35">
        <v>46828</v>
      </c>
      <c r="H98" s="35">
        <v>442</v>
      </c>
      <c r="I98" s="35">
        <v>74494</v>
      </c>
      <c r="J98" s="35">
        <v>24492204</v>
      </c>
      <c r="K98" s="35">
        <v>107460</v>
      </c>
      <c r="L98" s="36">
        <v>2668984</v>
      </c>
    </row>
    <row r="99" spans="1:12" ht="14.25" customHeight="1" x14ac:dyDescent="0.3">
      <c r="A99" s="37">
        <v>98</v>
      </c>
      <c r="B99" s="37">
        <v>1</v>
      </c>
      <c r="C99" s="37">
        <v>31</v>
      </c>
      <c r="D99" s="37"/>
      <c r="E99" s="37">
        <v>15</v>
      </c>
      <c r="F99" s="37">
        <v>199572</v>
      </c>
      <c r="G99" s="37">
        <v>46829</v>
      </c>
      <c r="H99" s="37">
        <v>442</v>
      </c>
      <c r="I99" s="37">
        <v>74495</v>
      </c>
      <c r="J99" s="37">
        <v>24492205</v>
      </c>
      <c r="K99" s="37">
        <v>107460</v>
      </c>
      <c r="L99" s="38">
        <v>2668984</v>
      </c>
    </row>
    <row r="100" spans="1:12" ht="14.25" customHeight="1" x14ac:dyDescent="0.3">
      <c r="A100" s="35">
        <v>99</v>
      </c>
      <c r="B100" s="35">
        <v>1</v>
      </c>
      <c r="C100" s="35">
        <v>31</v>
      </c>
      <c r="D100" s="35"/>
      <c r="E100" s="35">
        <v>16</v>
      </c>
      <c r="F100" s="35">
        <v>199573</v>
      </c>
      <c r="G100" s="35">
        <v>46830</v>
      </c>
      <c r="H100" s="35">
        <v>442</v>
      </c>
      <c r="I100" s="35">
        <v>74496</v>
      </c>
      <c r="J100" s="35">
        <v>24492206</v>
      </c>
      <c r="K100" s="35">
        <v>98241</v>
      </c>
      <c r="L100" s="36">
        <v>2440026</v>
      </c>
    </row>
    <row r="101" spans="1:12" ht="14.25" customHeight="1" x14ac:dyDescent="0.3">
      <c r="A101" s="37">
        <v>100</v>
      </c>
      <c r="B101" s="37">
        <v>1</v>
      </c>
      <c r="C101" s="37">
        <v>31</v>
      </c>
      <c r="D101" s="37"/>
      <c r="E101" s="37">
        <v>17</v>
      </c>
      <c r="F101" s="37">
        <v>199574</v>
      </c>
      <c r="G101" s="37">
        <v>46831</v>
      </c>
      <c r="H101" s="37">
        <v>442</v>
      </c>
      <c r="I101" s="37">
        <v>74498</v>
      </c>
      <c r="J101" s="37">
        <v>24492207</v>
      </c>
      <c r="K101" s="37">
        <v>75114</v>
      </c>
      <c r="L101" s="38">
        <v>1865606</v>
      </c>
    </row>
    <row r="102" spans="1:12" ht="14.25" customHeight="1" x14ac:dyDescent="0.3">
      <c r="A102" s="35">
        <v>101</v>
      </c>
      <c r="B102" s="35">
        <v>1</v>
      </c>
      <c r="C102" s="35">
        <v>31</v>
      </c>
      <c r="D102" s="35"/>
      <c r="E102" s="35">
        <v>18</v>
      </c>
      <c r="F102" s="35">
        <v>199575</v>
      </c>
      <c r="G102" s="35">
        <v>46832</v>
      </c>
      <c r="H102" s="35">
        <v>442</v>
      </c>
      <c r="I102" s="35">
        <v>74499</v>
      </c>
      <c r="J102" s="35">
        <v>24492212</v>
      </c>
      <c r="K102" s="35">
        <v>75114</v>
      </c>
      <c r="L102" s="36">
        <v>1865606</v>
      </c>
    </row>
    <row r="103" spans="1:12" ht="14.25" customHeight="1" x14ac:dyDescent="0.3">
      <c r="A103" s="37">
        <v>102</v>
      </c>
      <c r="B103" s="37">
        <v>1</v>
      </c>
      <c r="C103" s="37">
        <v>31</v>
      </c>
      <c r="D103" s="37"/>
      <c r="E103" s="37">
        <v>19</v>
      </c>
      <c r="F103" s="37">
        <v>199576</v>
      </c>
      <c r="G103" s="37">
        <v>46833</v>
      </c>
      <c r="H103" s="37">
        <v>442</v>
      </c>
      <c r="I103" s="37">
        <v>74500</v>
      </c>
      <c r="J103" s="37">
        <v>24492213</v>
      </c>
      <c r="K103" s="37">
        <v>75114</v>
      </c>
      <c r="L103" s="38">
        <v>1865606</v>
      </c>
    </row>
    <row r="104" spans="1:12" ht="14.25" customHeight="1" x14ac:dyDescent="0.3">
      <c r="A104" s="35">
        <v>103</v>
      </c>
      <c r="B104" s="35">
        <v>1</v>
      </c>
      <c r="C104" s="35">
        <v>31</v>
      </c>
      <c r="D104" s="35"/>
      <c r="E104" s="35">
        <v>20</v>
      </c>
      <c r="F104" s="35">
        <v>199577</v>
      </c>
      <c r="G104" s="35">
        <v>46834</v>
      </c>
      <c r="H104" s="35">
        <v>442</v>
      </c>
      <c r="I104" s="35">
        <v>74501</v>
      </c>
      <c r="J104" s="35">
        <v>24492114</v>
      </c>
      <c r="K104" s="35">
        <v>75114</v>
      </c>
      <c r="L104" s="36">
        <v>1865606</v>
      </c>
    </row>
    <row r="105" spans="1:12" ht="14.25" customHeight="1" x14ac:dyDescent="0.3">
      <c r="A105" s="37">
        <v>104</v>
      </c>
      <c r="B105" s="37">
        <v>1</v>
      </c>
      <c r="C105" s="37">
        <v>31</v>
      </c>
      <c r="D105" s="37"/>
      <c r="E105" s="37">
        <v>21</v>
      </c>
      <c r="F105" s="37">
        <v>199578</v>
      </c>
      <c r="G105" s="37">
        <v>46835</v>
      </c>
      <c r="H105" s="37">
        <v>442</v>
      </c>
      <c r="I105" s="37">
        <v>74502</v>
      </c>
      <c r="J105" s="37">
        <v>24492216</v>
      </c>
      <c r="K105" s="37">
        <v>75114</v>
      </c>
      <c r="L105" s="38">
        <v>1865606</v>
      </c>
    </row>
    <row r="106" spans="1:12" ht="14.25" customHeight="1" x14ac:dyDescent="0.3">
      <c r="A106" s="35">
        <v>105</v>
      </c>
      <c r="B106" s="35">
        <v>1</v>
      </c>
      <c r="C106" s="35">
        <v>31</v>
      </c>
      <c r="D106" s="35"/>
      <c r="E106" s="35">
        <v>22</v>
      </c>
      <c r="F106" s="35">
        <v>199579</v>
      </c>
      <c r="G106" s="35">
        <v>46836</v>
      </c>
      <c r="H106" s="35">
        <v>442</v>
      </c>
      <c r="I106" s="35">
        <v>74503</v>
      </c>
      <c r="J106" s="35">
        <v>24492217</v>
      </c>
      <c r="K106" s="35">
        <v>91377</v>
      </c>
      <c r="L106" s="36">
        <v>2269545</v>
      </c>
    </row>
    <row r="107" spans="1:12" ht="14.25" customHeight="1" x14ac:dyDescent="0.3">
      <c r="A107" s="37">
        <v>106</v>
      </c>
      <c r="B107" s="37">
        <v>1</v>
      </c>
      <c r="C107" s="37">
        <v>31</v>
      </c>
      <c r="D107" s="37"/>
      <c r="E107" s="37">
        <v>23</v>
      </c>
      <c r="F107" s="37">
        <v>199580</v>
      </c>
      <c r="G107" s="37">
        <v>46837</v>
      </c>
      <c r="H107" s="37">
        <v>442</v>
      </c>
      <c r="I107" s="37">
        <v>74504</v>
      </c>
      <c r="J107" s="37">
        <v>24492218</v>
      </c>
      <c r="K107" s="37">
        <v>74435</v>
      </c>
      <c r="L107" s="38">
        <v>1873593</v>
      </c>
    </row>
    <row r="108" spans="1:12" ht="14.25" customHeight="1" x14ac:dyDescent="0.3">
      <c r="A108" s="35">
        <v>107</v>
      </c>
      <c r="B108" s="35">
        <v>1</v>
      </c>
      <c r="C108" s="35">
        <v>31</v>
      </c>
      <c r="D108" s="35"/>
      <c r="E108" s="35">
        <v>24</v>
      </c>
      <c r="F108" s="35">
        <v>199581</v>
      </c>
      <c r="G108" s="35">
        <v>46838</v>
      </c>
      <c r="H108" s="35">
        <v>442</v>
      </c>
      <c r="I108" s="35">
        <v>74505</v>
      </c>
      <c r="J108" s="35">
        <v>24495026</v>
      </c>
      <c r="K108" s="35">
        <v>107730</v>
      </c>
      <c r="L108" s="36">
        <v>2675690</v>
      </c>
    </row>
    <row r="109" spans="1:12" ht="14.25" customHeight="1" x14ac:dyDescent="0.3">
      <c r="A109" s="37">
        <v>108</v>
      </c>
      <c r="B109" s="37">
        <v>1</v>
      </c>
      <c r="C109" s="37">
        <v>31</v>
      </c>
      <c r="D109" s="37"/>
      <c r="E109" s="37">
        <v>25</v>
      </c>
      <c r="F109" s="37">
        <v>199582</v>
      </c>
      <c r="G109" s="37">
        <v>46839</v>
      </c>
      <c r="H109" s="37">
        <v>442</v>
      </c>
      <c r="I109" s="37">
        <v>74506</v>
      </c>
      <c r="J109" s="37">
        <v>24495033</v>
      </c>
      <c r="K109" s="37">
        <v>107730</v>
      </c>
      <c r="L109" s="38">
        <v>2675690</v>
      </c>
    </row>
    <row r="110" spans="1:12" ht="14.25" customHeight="1" x14ac:dyDescent="0.3">
      <c r="A110" s="35">
        <v>109</v>
      </c>
      <c r="B110" s="35">
        <v>1</v>
      </c>
      <c r="C110" s="35">
        <v>31</v>
      </c>
      <c r="D110" s="35"/>
      <c r="E110" s="35">
        <v>26</v>
      </c>
      <c r="F110" s="35">
        <v>199583</v>
      </c>
      <c r="G110" s="35">
        <v>46840</v>
      </c>
      <c r="H110" s="35">
        <v>442</v>
      </c>
      <c r="I110" s="35">
        <v>74507</v>
      </c>
      <c r="J110" s="35">
        <v>24495039</v>
      </c>
      <c r="K110" s="35">
        <v>107730</v>
      </c>
      <c r="L110" s="36">
        <v>2675690</v>
      </c>
    </row>
    <row r="111" spans="1:12" ht="14.25" customHeight="1" x14ac:dyDescent="0.3">
      <c r="A111" s="37">
        <v>110</v>
      </c>
      <c r="B111" s="37">
        <v>1</v>
      </c>
      <c r="C111" s="37">
        <v>31</v>
      </c>
      <c r="D111" s="37"/>
      <c r="E111" s="37">
        <v>27</v>
      </c>
      <c r="F111" s="37">
        <v>199584</v>
      </c>
      <c r="G111" s="37">
        <v>46841</v>
      </c>
      <c r="H111" s="37">
        <v>442</v>
      </c>
      <c r="I111" s="37">
        <v>74508</v>
      </c>
      <c r="J111" s="37">
        <v>24495115</v>
      </c>
      <c r="K111" s="37">
        <v>107730</v>
      </c>
      <c r="L111" s="38">
        <v>2675690</v>
      </c>
    </row>
    <row r="112" spans="1:12" ht="14.25" customHeight="1" x14ac:dyDescent="0.3">
      <c r="A112" s="35">
        <v>111</v>
      </c>
      <c r="B112" s="35">
        <v>1</v>
      </c>
      <c r="C112" s="35">
        <v>31</v>
      </c>
      <c r="D112" s="35"/>
      <c r="E112" s="35">
        <v>28</v>
      </c>
      <c r="F112" s="35">
        <v>199585</v>
      </c>
      <c r="G112" s="35">
        <v>46842</v>
      </c>
      <c r="H112" s="35">
        <v>442</v>
      </c>
      <c r="I112" s="35">
        <v>74509</v>
      </c>
      <c r="J112" s="35">
        <v>24495119</v>
      </c>
      <c r="K112" s="35">
        <v>107730</v>
      </c>
      <c r="L112" s="36">
        <v>2675690</v>
      </c>
    </row>
    <row r="113" spans="1:12" ht="14.25" customHeight="1" x14ac:dyDescent="0.3">
      <c r="A113" s="37">
        <v>112</v>
      </c>
      <c r="B113" s="37">
        <v>1</v>
      </c>
      <c r="C113" s="37">
        <v>31</v>
      </c>
      <c r="D113" s="37"/>
      <c r="E113" s="37">
        <v>29</v>
      </c>
      <c r="F113" s="37">
        <v>199586</v>
      </c>
      <c r="G113" s="37">
        <v>46843</v>
      </c>
      <c r="H113" s="37">
        <v>442</v>
      </c>
      <c r="I113" s="37">
        <v>74510</v>
      </c>
      <c r="J113" s="37">
        <v>24495122</v>
      </c>
      <c r="K113" s="37">
        <v>107730</v>
      </c>
      <c r="L113" s="38">
        <v>2675690</v>
      </c>
    </row>
    <row r="114" spans="1:12" ht="14.25" customHeight="1" x14ac:dyDescent="0.3">
      <c r="A114" s="35">
        <v>113</v>
      </c>
      <c r="B114" s="35">
        <v>1</v>
      </c>
      <c r="C114" s="35">
        <v>31</v>
      </c>
      <c r="D114" s="35"/>
      <c r="E114" s="35">
        <v>30</v>
      </c>
      <c r="F114" s="35">
        <v>199587</v>
      </c>
      <c r="G114" s="35">
        <v>46844</v>
      </c>
      <c r="H114" s="35">
        <v>442</v>
      </c>
      <c r="I114" s="35">
        <v>74511</v>
      </c>
      <c r="J114" s="35">
        <v>24495135</v>
      </c>
      <c r="K114" s="35">
        <v>107730</v>
      </c>
      <c r="L114" s="36">
        <v>2675690</v>
      </c>
    </row>
    <row r="115" spans="1:12" ht="14.25" customHeight="1" x14ac:dyDescent="0.3">
      <c r="A115" s="37">
        <v>114</v>
      </c>
      <c r="B115" s="37">
        <v>1</v>
      </c>
      <c r="C115" s="37">
        <v>31</v>
      </c>
      <c r="D115" s="37"/>
      <c r="E115" s="37">
        <v>31</v>
      </c>
      <c r="F115" s="37">
        <v>199588</v>
      </c>
      <c r="G115" s="37">
        <v>46845</v>
      </c>
      <c r="H115" s="37">
        <v>442</v>
      </c>
      <c r="I115" s="37">
        <v>74512</v>
      </c>
      <c r="J115" s="37">
        <v>24495161</v>
      </c>
      <c r="K115" s="37">
        <v>107730</v>
      </c>
      <c r="L115" s="38">
        <v>2675690</v>
      </c>
    </row>
    <row r="116" spans="1:12" ht="14.25" customHeight="1" x14ac:dyDescent="0.3">
      <c r="A116" s="35">
        <v>115</v>
      </c>
      <c r="B116" s="35">
        <v>1</v>
      </c>
      <c r="C116" s="35">
        <v>31</v>
      </c>
      <c r="D116" s="35"/>
      <c r="E116" s="35">
        <v>32</v>
      </c>
      <c r="F116" s="35">
        <v>199589</v>
      </c>
      <c r="G116" s="35">
        <v>46846</v>
      </c>
      <c r="H116" s="35">
        <v>442</v>
      </c>
      <c r="I116" s="35">
        <v>74513</v>
      </c>
      <c r="J116" s="35">
        <v>24495170</v>
      </c>
      <c r="K116" s="35">
        <v>74435</v>
      </c>
      <c r="L116" s="36">
        <v>1873593</v>
      </c>
    </row>
    <row r="117" spans="1:12" ht="14.25" customHeight="1" x14ac:dyDescent="0.3">
      <c r="A117" s="37">
        <v>116</v>
      </c>
      <c r="B117" s="37">
        <v>1</v>
      </c>
      <c r="C117" s="37">
        <v>32</v>
      </c>
      <c r="D117" s="37"/>
      <c r="E117" s="37">
        <v>1</v>
      </c>
      <c r="F117" s="37">
        <v>199528</v>
      </c>
      <c r="G117" s="37">
        <v>46847</v>
      </c>
      <c r="H117" s="37">
        <v>442</v>
      </c>
      <c r="I117" s="37">
        <v>74294</v>
      </c>
      <c r="J117" s="37">
        <v>24495232</v>
      </c>
      <c r="K117" s="37">
        <v>98241</v>
      </c>
      <c r="L117" s="38">
        <v>2440026</v>
      </c>
    </row>
    <row r="118" spans="1:12" ht="14.25" customHeight="1" x14ac:dyDescent="0.3">
      <c r="A118" s="35">
        <v>117</v>
      </c>
      <c r="B118" s="35">
        <v>1</v>
      </c>
      <c r="C118" s="35">
        <v>32</v>
      </c>
      <c r="D118" s="35"/>
      <c r="E118" s="35">
        <v>2</v>
      </c>
      <c r="F118" s="35">
        <v>199529</v>
      </c>
      <c r="G118" s="35">
        <v>46848</v>
      </c>
      <c r="H118" s="35">
        <v>442</v>
      </c>
      <c r="I118" s="35">
        <v>74295</v>
      </c>
      <c r="J118" s="35">
        <v>24495236</v>
      </c>
      <c r="K118" s="35">
        <v>75114</v>
      </c>
      <c r="L118" s="36">
        <v>1865606</v>
      </c>
    </row>
    <row r="119" spans="1:12" ht="14.25" customHeight="1" x14ac:dyDescent="0.3">
      <c r="A119" s="37">
        <v>118</v>
      </c>
      <c r="B119" s="37">
        <v>1</v>
      </c>
      <c r="C119" s="37">
        <v>32</v>
      </c>
      <c r="D119" s="37"/>
      <c r="E119" s="37">
        <v>3</v>
      </c>
      <c r="F119" s="37">
        <v>199530</v>
      </c>
      <c r="G119" s="37">
        <v>46849</v>
      </c>
      <c r="H119" s="37">
        <v>442</v>
      </c>
      <c r="I119" s="37">
        <v>74296</v>
      </c>
      <c r="J119" s="37">
        <v>24495240</v>
      </c>
      <c r="K119" s="37">
        <v>75114</v>
      </c>
      <c r="L119" s="38">
        <v>1865606</v>
      </c>
    </row>
    <row r="120" spans="1:12" ht="14.25" customHeight="1" x14ac:dyDescent="0.3">
      <c r="A120" s="35">
        <v>119</v>
      </c>
      <c r="B120" s="35">
        <v>1</v>
      </c>
      <c r="C120" s="35">
        <v>32</v>
      </c>
      <c r="D120" s="35"/>
      <c r="E120" s="35">
        <v>4</v>
      </c>
      <c r="F120" s="35">
        <v>199531</v>
      </c>
      <c r="G120" s="35">
        <v>46850</v>
      </c>
      <c r="H120" s="35">
        <v>442</v>
      </c>
      <c r="I120" s="35">
        <v>74297</v>
      </c>
      <c r="J120" s="35">
        <v>24495247</v>
      </c>
      <c r="K120" s="35">
        <v>75114</v>
      </c>
      <c r="L120" s="36">
        <v>1865606</v>
      </c>
    </row>
    <row r="121" spans="1:12" ht="14.25" customHeight="1" x14ac:dyDescent="0.3">
      <c r="A121" s="37">
        <v>120</v>
      </c>
      <c r="B121" s="37">
        <v>1</v>
      </c>
      <c r="C121" s="37">
        <v>32</v>
      </c>
      <c r="D121" s="37"/>
      <c r="E121" s="37">
        <v>5</v>
      </c>
      <c r="F121" s="37">
        <v>199532</v>
      </c>
      <c r="G121" s="37" t="s">
        <v>29</v>
      </c>
      <c r="H121" s="37">
        <v>442</v>
      </c>
      <c r="I121" s="37">
        <v>74298</v>
      </c>
      <c r="J121" s="37">
        <v>24495251</v>
      </c>
      <c r="K121" s="37">
        <v>75114</v>
      </c>
      <c r="L121" s="38">
        <v>1865606</v>
      </c>
    </row>
    <row r="122" spans="1:12" ht="14.25" customHeight="1" x14ac:dyDescent="0.3">
      <c r="A122" s="35">
        <v>121</v>
      </c>
      <c r="B122" s="35">
        <v>1</v>
      </c>
      <c r="C122" s="35">
        <v>32</v>
      </c>
      <c r="D122" s="35"/>
      <c r="E122" s="35">
        <v>6</v>
      </c>
      <c r="F122" s="35">
        <v>199533</v>
      </c>
      <c r="G122" s="35">
        <v>46851</v>
      </c>
      <c r="H122" s="35">
        <v>442</v>
      </c>
      <c r="I122" s="35">
        <v>74299</v>
      </c>
      <c r="J122" s="35">
        <v>24495455</v>
      </c>
      <c r="K122" s="35">
        <v>98241</v>
      </c>
      <c r="L122" s="36">
        <v>2440026</v>
      </c>
    </row>
    <row r="123" spans="1:12" ht="14.25" customHeight="1" x14ac:dyDescent="0.3">
      <c r="A123" s="37">
        <v>122</v>
      </c>
      <c r="B123" s="37">
        <v>1</v>
      </c>
      <c r="C123" s="37">
        <v>32</v>
      </c>
      <c r="D123" s="37"/>
      <c r="E123" s="37">
        <v>7</v>
      </c>
      <c r="F123" s="37">
        <v>199534</v>
      </c>
      <c r="G123" s="37">
        <v>46852</v>
      </c>
      <c r="H123" s="37">
        <v>442</v>
      </c>
      <c r="I123" s="37">
        <v>74300</v>
      </c>
      <c r="J123" s="37">
        <v>24495488</v>
      </c>
      <c r="K123" s="37">
        <v>89700</v>
      </c>
      <c r="L123" s="38">
        <v>2227878</v>
      </c>
    </row>
    <row r="124" spans="1:12" ht="14.25" customHeight="1" x14ac:dyDescent="0.3">
      <c r="A124" s="35">
        <v>123</v>
      </c>
      <c r="B124" s="35">
        <v>1</v>
      </c>
      <c r="C124" s="35">
        <v>32</v>
      </c>
      <c r="D124" s="35"/>
      <c r="E124" s="35">
        <v>8</v>
      </c>
      <c r="F124" s="35">
        <v>199535</v>
      </c>
      <c r="G124" s="35">
        <v>46853</v>
      </c>
      <c r="H124" s="35">
        <v>442</v>
      </c>
      <c r="I124" s="35">
        <v>74301</v>
      </c>
      <c r="J124" s="35">
        <v>24495492</v>
      </c>
      <c r="K124" s="35">
        <v>89700</v>
      </c>
      <c r="L124" s="36">
        <v>2227878</v>
      </c>
    </row>
    <row r="125" spans="1:12" ht="14.25" customHeight="1" x14ac:dyDescent="0.3">
      <c r="A125" s="37">
        <v>124</v>
      </c>
      <c r="B125" s="37">
        <v>1</v>
      </c>
      <c r="C125" s="37">
        <v>32</v>
      </c>
      <c r="D125" s="37"/>
      <c r="E125" s="37">
        <v>9</v>
      </c>
      <c r="F125" s="37">
        <v>199536</v>
      </c>
      <c r="G125" s="37">
        <v>46854</v>
      </c>
      <c r="H125" s="37">
        <v>442</v>
      </c>
      <c r="I125" s="37">
        <v>74302</v>
      </c>
      <c r="J125" s="37">
        <v>24495498</v>
      </c>
      <c r="K125" s="37">
        <v>89700</v>
      </c>
      <c r="L125" s="38">
        <v>2227878</v>
      </c>
    </row>
    <row r="126" spans="1:12" ht="14.25" customHeight="1" x14ac:dyDescent="0.3">
      <c r="A126" s="35">
        <v>125</v>
      </c>
      <c r="B126" s="35">
        <v>1</v>
      </c>
      <c r="C126" s="35">
        <v>32</v>
      </c>
      <c r="D126" s="35"/>
      <c r="E126" s="35">
        <v>10</v>
      </c>
      <c r="F126" s="35">
        <v>199537</v>
      </c>
      <c r="G126" s="35">
        <v>46855</v>
      </c>
      <c r="H126" s="35">
        <v>442</v>
      </c>
      <c r="I126" s="35">
        <v>74303</v>
      </c>
      <c r="J126" s="35">
        <v>24495502</v>
      </c>
      <c r="K126" s="35">
        <v>89700</v>
      </c>
      <c r="L126" s="36">
        <v>2227878</v>
      </c>
    </row>
    <row r="127" spans="1:12" ht="14.25" customHeight="1" x14ac:dyDescent="0.3">
      <c r="A127" s="37">
        <v>126</v>
      </c>
      <c r="B127" s="37">
        <v>1</v>
      </c>
      <c r="C127" s="37">
        <v>32</v>
      </c>
      <c r="D127" s="37"/>
      <c r="E127" s="37">
        <v>11</v>
      </c>
      <c r="F127" s="37">
        <v>199538</v>
      </c>
      <c r="G127" s="37">
        <v>46856</v>
      </c>
      <c r="H127" s="37">
        <v>442</v>
      </c>
      <c r="I127" s="37">
        <v>74304</v>
      </c>
      <c r="J127" s="37">
        <v>24495507</v>
      </c>
      <c r="K127" s="37">
        <v>89700</v>
      </c>
      <c r="L127" s="38">
        <v>2227878</v>
      </c>
    </row>
    <row r="128" spans="1:12" ht="14.25" customHeight="1" x14ac:dyDescent="0.3">
      <c r="A128" s="35">
        <v>127</v>
      </c>
      <c r="B128" s="35">
        <v>1</v>
      </c>
      <c r="C128" s="35">
        <v>32</v>
      </c>
      <c r="D128" s="35"/>
      <c r="E128" s="35">
        <v>12</v>
      </c>
      <c r="F128" s="35">
        <v>199539</v>
      </c>
      <c r="G128" s="35">
        <v>46857</v>
      </c>
      <c r="H128" s="35">
        <v>442</v>
      </c>
      <c r="I128" s="35">
        <v>74305</v>
      </c>
      <c r="J128" s="35">
        <v>24495509</v>
      </c>
      <c r="K128" s="35">
        <v>89700</v>
      </c>
      <c r="L128" s="36">
        <v>2227878</v>
      </c>
    </row>
    <row r="129" spans="1:12" ht="14.25" customHeight="1" x14ac:dyDescent="0.3">
      <c r="A129" s="37">
        <v>128</v>
      </c>
      <c r="B129" s="37">
        <v>1</v>
      </c>
      <c r="C129" s="37">
        <v>32</v>
      </c>
      <c r="D129" s="37"/>
      <c r="E129" s="37">
        <v>13</v>
      </c>
      <c r="F129" s="37">
        <v>199540</v>
      </c>
      <c r="G129" s="37" t="s">
        <v>30</v>
      </c>
      <c r="H129" s="37">
        <v>442</v>
      </c>
      <c r="I129" s="37">
        <v>74306</v>
      </c>
      <c r="J129" s="37">
        <v>24495519</v>
      </c>
      <c r="K129" s="37">
        <v>89700</v>
      </c>
      <c r="L129" s="38">
        <v>2227878</v>
      </c>
    </row>
    <row r="130" spans="1:12" ht="14.25" customHeight="1" x14ac:dyDescent="0.3">
      <c r="A130" s="35">
        <v>129</v>
      </c>
      <c r="B130" s="35">
        <v>1</v>
      </c>
      <c r="C130" s="35">
        <v>32</v>
      </c>
      <c r="D130" s="35"/>
      <c r="E130" s="35">
        <v>14</v>
      </c>
      <c r="F130" s="35">
        <v>199541</v>
      </c>
      <c r="G130" s="35">
        <v>46858</v>
      </c>
      <c r="H130" s="35">
        <v>442</v>
      </c>
      <c r="I130" s="35">
        <v>74307</v>
      </c>
      <c r="J130" s="35">
        <v>24495521</v>
      </c>
      <c r="K130" s="35">
        <v>89700</v>
      </c>
      <c r="L130" s="36">
        <v>2227878</v>
      </c>
    </row>
    <row r="131" spans="1:12" ht="14.25" customHeight="1" x14ac:dyDescent="0.3">
      <c r="A131" s="37">
        <v>130</v>
      </c>
      <c r="B131" s="37">
        <v>1</v>
      </c>
      <c r="C131" s="37">
        <v>32</v>
      </c>
      <c r="D131" s="37"/>
      <c r="E131" s="37">
        <v>15</v>
      </c>
      <c r="F131" s="37">
        <v>199542</v>
      </c>
      <c r="G131" s="37">
        <v>46859</v>
      </c>
      <c r="H131" s="37">
        <v>442</v>
      </c>
      <c r="I131" s="37">
        <v>74308</v>
      </c>
      <c r="J131" s="37">
        <v>24495537</v>
      </c>
      <c r="K131" s="37">
        <v>98241</v>
      </c>
      <c r="L131" s="38">
        <v>2440026</v>
      </c>
    </row>
    <row r="132" spans="1:12" ht="14.25" customHeight="1" x14ac:dyDescent="0.3">
      <c r="A132" s="35">
        <v>131</v>
      </c>
      <c r="B132" s="35">
        <v>1</v>
      </c>
      <c r="C132" s="35">
        <v>32</v>
      </c>
      <c r="D132" s="35"/>
      <c r="E132" s="35">
        <v>16</v>
      </c>
      <c r="F132" s="35">
        <v>199543</v>
      </c>
      <c r="G132" s="35">
        <v>46860</v>
      </c>
      <c r="H132" s="35">
        <v>442</v>
      </c>
      <c r="I132" s="35">
        <v>74309</v>
      </c>
      <c r="J132" s="35">
        <v>24495601</v>
      </c>
      <c r="K132" s="35">
        <v>75114</v>
      </c>
      <c r="L132" s="36">
        <v>1865606</v>
      </c>
    </row>
    <row r="133" spans="1:12" ht="14.25" customHeight="1" x14ac:dyDescent="0.3">
      <c r="A133" s="37">
        <v>132</v>
      </c>
      <c r="B133" s="37">
        <v>1</v>
      </c>
      <c r="C133" s="37">
        <v>32</v>
      </c>
      <c r="D133" s="37"/>
      <c r="E133" s="37">
        <v>17</v>
      </c>
      <c r="F133" s="37">
        <v>199544</v>
      </c>
      <c r="G133" s="37">
        <v>46861</v>
      </c>
      <c r="H133" s="37">
        <v>442</v>
      </c>
      <c r="I133" s="37">
        <v>74310</v>
      </c>
      <c r="J133" s="37">
        <v>24495604</v>
      </c>
      <c r="K133" s="37">
        <v>75114</v>
      </c>
      <c r="L133" s="38">
        <v>1865606</v>
      </c>
    </row>
    <row r="134" spans="1:12" ht="14.25" customHeight="1" x14ac:dyDescent="0.3">
      <c r="A134" s="35">
        <v>133</v>
      </c>
      <c r="B134" s="35">
        <v>1</v>
      </c>
      <c r="C134" s="35">
        <v>32</v>
      </c>
      <c r="D134" s="35"/>
      <c r="E134" s="35">
        <v>18</v>
      </c>
      <c r="F134" s="35">
        <v>199545</v>
      </c>
      <c r="G134" s="35">
        <v>46862</v>
      </c>
      <c r="H134" s="35">
        <v>442</v>
      </c>
      <c r="I134" s="35">
        <v>74311</v>
      </c>
      <c r="J134" s="35">
        <v>24496050</v>
      </c>
      <c r="K134" s="35">
        <v>75114</v>
      </c>
      <c r="L134" s="36">
        <v>1865606</v>
      </c>
    </row>
    <row r="135" spans="1:12" ht="14.25" customHeight="1" x14ac:dyDescent="0.3">
      <c r="A135" s="37">
        <v>134</v>
      </c>
      <c r="B135" s="37">
        <v>1</v>
      </c>
      <c r="C135" s="37">
        <v>32</v>
      </c>
      <c r="D135" s="37"/>
      <c r="E135" s="37">
        <v>19</v>
      </c>
      <c r="F135" s="37">
        <v>199546</v>
      </c>
      <c r="G135" s="37">
        <v>46863</v>
      </c>
      <c r="H135" s="37">
        <v>442</v>
      </c>
      <c r="I135" s="37">
        <v>74312</v>
      </c>
      <c r="J135" s="37">
        <v>24496038</v>
      </c>
      <c r="K135" s="37">
        <v>75114</v>
      </c>
      <c r="L135" s="38">
        <v>1865606</v>
      </c>
    </row>
    <row r="136" spans="1:12" ht="14.25" customHeight="1" x14ac:dyDescent="0.3">
      <c r="A136" s="35">
        <v>135</v>
      </c>
      <c r="B136" s="35">
        <v>1</v>
      </c>
      <c r="C136" s="35">
        <v>32</v>
      </c>
      <c r="D136" s="35"/>
      <c r="E136" s="35">
        <v>20</v>
      </c>
      <c r="F136" s="35">
        <v>199547</v>
      </c>
      <c r="G136" s="35">
        <v>46864</v>
      </c>
      <c r="H136" s="35">
        <v>442</v>
      </c>
      <c r="I136" s="35">
        <v>74313</v>
      </c>
      <c r="J136" s="35">
        <v>24496040</v>
      </c>
      <c r="K136" s="35">
        <v>98241</v>
      </c>
      <c r="L136" s="36">
        <v>2440026</v>
      </c>
    </row>
    <row r="137" spans="1:12" ht="14.25" customHeight="1" x14ac:dyDescent="0.3">
      <c r="A137" s="37">
        <v>136</v>
      </c>
      <c r="B137" s="37">
        <v>1</v>
      </c>
      <c r="C137" s="37">
        <v>32</v>
      </c>
      <c r="D137" s="37"/>
      <c r="E137" s="37">
        <v>21</v>
      </c>
      <c r="F137" s="37">
        <v>199548</v>
      </c>
      <c r="G137" s="37">
        <v>46865</v>
      </c>
      <c r="H137" s="37">
        <v>442</v>
      </c>
      <c r="I137" s="37">
        <v>74314</v>
      </c>
      <c r="J137" s="37">
        <v>24496042</v>
      </c>
      <c r="K137" s="37">
        <v>89700</v>
      </c>
      <c r="L137" s="38">
        <v>2227878</v>
      </c>
    </row>
    <row r="138" spans="1:12" ht="14.25" customHeight="1" x14ac:dyDescent="0.3">
      <c r="A138" s="35">
        <v>137</v>
      </c>
      <c r="B138" s="35">
        <v>1</v>
      </c>
      <c r="C138" s="35">
        <v>32</v>
      </c>
      <c r="D138" s="35"/>
      <c r="E138" s="35">
        <v>22</v>
      </c>
      <c r="F138" s="35">
        <v>199549</v>
      </c>
      <c r="G138" s="35">
        <v>46866</v>
      </c>
      <c r="H138" s="35">
        <v>442</v>
      </c>
      <c r="I138" s="35">
        <v>74315</v>
      </c>
      <c r="J138" s="35">
        <v>24496043</v>
      </c>
      <c r="K138" s="35">
        <v>89700</v>
      </c>
      <c r="L138" s="36">
        <v>2227878</v>
      </c>
    </row>
    <row r="139" spans="1:12" ht="14.25" customHeight="1" x14ac:dyDescent="0.3">
      <c r="A139" s="37">
        <v>138</v>
      </c>
      <c r="B139" s="37">
        <v>1</v>
      </c>
      <c r="C139" s="37">
        <v>32</v>
      </c>
      <c r="D139" s="37"/>
      <c r="E139" s="37">
        <v>23</v>
      </c>
      <c r="F139" s="37">
        <v>199550</v>
      </c>
      <c r="G139" s="37">
        <v>46867</v>
      </c>
      <c r="H139" s="37">
        <v>442</v>
      </c>
      <c r="I139" s="37">
        <v>74316</v>
      </c>
      <c r="J139" s="37">
        <v>24496044</v>
      </c>
      <c r="K139" s="37">
        <v>89700</v>
      </c>
      <c r="L139" s="38">
        <v>2227878</v>
      </c>
    </row>
    <row r="140" spans="1:12" ht="14.25" customHeight="1" x14ac:dyDescent="0.3">
      <c r="A140" s="35">
        <v>139</v>
      </c>
      <c r="B140" s="35">
        <v>1</v>
      </c>
      <c r="C140" s="35">
        <v>32</v>
      </c>
      <c r="D140" s="35"/>
      <c r="E140" s="35">
        <v>24</v>
      </c>
      <c r="F140" s="35">
        <v>199551</v>
      </c>
      <c r="G140" s="35">
        <v>46528</v>
      </c>
      <c r="H140" s="35">
        <v>442</v>
      </c>
      <c r="I140" s="35">
        <v>74317</v>
      </c>
      <c r="J140" s="35">
        <v>24496048</v>
      </c>
      <c r="K140" s="35">
        <v>89700</v>
      </c>
      <c r="L140" s="36">
        <v>2227878</v>
      </c>
    </row>
    <row r="141" spans="1:12" ht="14.25" customHeight="1" x14ac:dyDescent="0.3">
      <c r="A141" s="37">
        <v>140</v>
      </c>
      <c r="B141" s="37">
        <v>1</v>
      </c>
      <c r="C141" s="37">
        <v>32</v>
      </c>
      <c r="D141" s="37"/>
      <c r="E141" s="37">
        <v>25</v>
      </c>
      <c r="F141" s="37">
        <v>199552</v>
      </c>
      <c r="G141" s="37">
        <v>46529</v>
      </c>
      <c r="H141" s="37">
        <v>442</v>
      </c>
      <c r="I141" s="37">
        <v>74318</v>
      </c>
      <c r="J141" s="37">
        <v>24496052</v>
      </c>
      <c r="K141" s="37">
        <v>89700</v>
      </c>
      <c r="L141" s="38">
        <v>2227878</v>
      </c>
    </row>
    <row r="142" spans="1:12" ht="14.25" customHeight="1" x14ac:dyDescent="0.3">
      <c r="A142" s="35">
        <v>141</v>
      </c>
      <c r="B142" s="35">
        <v>1</v>
      </c>
      <c r="C142" s="35">
        <v>32</v>
      </c>
      <c r="D142" s="35"/>
      <c r="E142" s="35">
        <v>26</v>
      </c>
      <c r="F142" s="35">
        <v>199553</v>
      </c>
      <c r="G142" s="35">
        <v>46530</v>
      </c>
      <c r="H142" s="35">
        <v>442</v>
      </c>
      <c r="I142" s="35">
        <v>74319</v>
      </c>
      <c r="J142" s="35">
        <v>24496055</v>
      </c>
      <c r="K142" s="35">
        <v>89700</v>
      </c>
      <c r="L142" s="36">
        <v>2227878</v>
      </c>
    </row>
    <row r="143" spans="1:12" ht="14.25" customHeight="1" x14ac:dyDescent="0.3">
      <c r="A143" s="37">
        <v>142</v>
      </c>
      <c r="B143" s="37">
        <v>1</v>
      </c>
      <c r="C143" s="37">
        <v>32</v>
      </c>
      <c r="D143" s="37"/>
      <c r="E143" s="37">
        <v>27</v>
      </c>
      <c r="F143" s="37">
        <v>199554</v>
      </c>
      <c r="G143" s="37">
        <v>46531</v>
      </c>
      <c r="H143" s="37">
        <v>442</v>
      </c>
      <c r="I143" s="37">
        <v>74320</v>
      </c>
      <c r="J143" s="37">
        <v>24496072</v>
      </c>
      <c r="K143" s="37">
        <v>89700</v>
      </c>
      <c r="L143" s="38">
        <v>2227878</v>
      </c>
    </row>
    <row r="144" spans="1:12" ht="14.25" customHeight="1" x14ac:dyDescent="0.3">
      <c r="A144" s="35">
        <v>143</v>
      </c>
      <c r="B144" s="35">
        <v>1</v>
      </c>
      <c r="C144" s="35">
        <v>32</v>
      </c>
      <c r="D144" s="35"/>
      <c r="E144" s="35">
        <v>28</v>
      </c>
      <c r="F144" s="35">
        <v>199555</v>
      </c>
      <c r="G144" s="35">
        <v>46532</v>
      </c>
      <c r="H144" s="35">
        <v>442</v>
      </c>
      <c r="I144" s="35">
        <v>74321</v>
      </c>
      <c r="J144" s="35">
        <v>24496074</v>
      </c>
      <c r="K144" s="35">
        <v>89700</v>
      </c>
      <c r="L144" s="36">
        <v>2227878</v>
      </c>
    </row>
    <row r="145" spans="1:12" ht="14.25" customHeight="1" x14ac:dyDescent="0.3">
      <c r="A145" s="37">
        <v>144</v>
      </c>
      <c r="B145" s="37">
        <v>1</v>
      </c>
      <c r="C145" s="37">
        <v>33</v>
      </c>
      <c r="D145" s="37"/>
      <c r="E145" s="37">
        <v>1</v>
      </c>
      <c r="F145" s="37">
        <v>199634</v>
      </c>
      <c r="G145" s="37">
        <v>46533</v>
      </c>
      <c r="H145" s="37">
        <v>442</v>
      </c>
      <c r="I145" s="37">
        <v>74258</v>
      </c>
      <c r="J145" s="37">
        <v>24496078</v>
      </c>
      <c r="K145" s="37">
        <v>93432</v>
      </c>
      <c r="L145" s="38">
        <v>2320570</v>
      </c>
    </row>
    <row r="146" spans="1:12" ht="14.25" customHeight="1" x14ac:dyDescent="0.3">
      <c r="A146" s="35">
        <v>145</v>
      </c>
      <c r="B146" s="35">
        <v>1</v>
      </c>
      <c r="C146" s="35">
        <v>33</v>
      </c>
      <c r="D146" s="35"/>
      <c r="E146" s="35">
        <v>2</v>
      </c>
      <c r="F146" s="35">
        <v>199635</v>
      </c>
      <c r="G146" s="35">
        <v>46534</v>
      </c>
      <c r="H146" s="35">
        <v>442</v>
      </c>
      <c r="I146" s="35">
        <v>74259</v>
      </c>
      <c r="J146" s="35">
        <v>24496080</v>
      </c>
      <c r="K146" s="35">
        <v>75114</v>
      </c>
      <c r="L146" s="36">
        <v>1865606</v>
      </c>
    </row>
    <row r="147" spans="1:12" ht="14.25" customHeight="1" x14ac:dyDescent="0.3">
      <c r="A147" s="37">
        <v>146</v>
      </c>
      <c r="B147" s="37">
        <v>1</v>
      </c>
      <c r="C147" s="37">
        <v>33</v>
      </c>
      <c r="D147" s="37"/>
      <c r="E147" s="37">
        <v>3</v>
      </c>
      <c r="F147" s="37">
        <v>199636</v>
      </c>
      <c r="G147" s="37" t="s">
        <v>31</v>
      </c>
      <c r="H147" s="37">
        <v>442</v>
      </c>
      <c r="I147" s="37">
        <v>74260</v>
      </c>
      <c r="J147" s="37">
        <v>24496083</v>
      </c>
      <c r="K147" s="37">
        <v>75114</v>
      </c>
      <c r="L147" s="38">
        <v>1865606</v>
      </c>
    </row>
    <row r="148" spans="1:12" ht="14.25" customHeight="1" x14ac:dyDescent="0.3">
      <c r="A148" s="35">
        <v>147</v>
      </c>
      <c r="B148" s="35">
        <v>1</v>
      </c>
      <c r="C148" s="35">
        <v>33</v>
      </c>
      <c r="D148" s="35"/>
      <c r="E148" s="35">
        <v>4</v>
      </c>
      <c r="F148" s="35">
        <v>199637</v>
      </c>
      <c r="G148" s="35" t="s">
        <v>32</v>
      </c>
      <c r="H148" s="35">
        <v>442</v>
      </c>
      <c r="I148" s="35">
        <v>74261</v>
      </c>
      <c r="J148" s="35">
        <v>24496090</v>
      </c>
      <c r="K148" s="35">
        <v>75114</v>
      </c>
      <c r="L148" s="36">
        <v>1865606</v>
      </c>
    </row>
    <row r="149" spans="1:12" ht="14.25" customHeight="1" x14ac:dyDescent="0.3">
      <c r="A149" s="37">
        <v>148</v>
      </c>
      <c r="B149" s="37">
        <v>1</v>
      </c>
      <c r="C149" s="37">
        <v>33</v>
      </c>
      <c r="D149" s="37"/>
      <c r="E149" s="37">
        <v>5</v>
      </c>
      <c r="F149" s="37">
        <v>199638</v>
      </c>
      <c r="G149" s="37" t="s">
        <v>33</v>
      </c>
      <c r="H149" s="37">
        <v>442</v>
      </c>
      <c r="I149" s="37">
        <v>74262</v>
      </c>
      <c r="J149" s="37">
        <v>24496133</v>
      </c>
      <c r="K149" s="37">
        <v>75114</v>
      </c>
      <c r="L149" s="38">
        <v>1865606</v>
      </c>
    </row>
    <row r="150" spans="1:12" ht="14.25" customHeight="1" x14ac:dyDescent="0.3">
      <c r="A150" s="35">
        <v>149</v>
      </c>
      <c r="B150" s="35">
        <v>1</v>
      </c>
      <c r="C150" s="35">
        <v>33</v>
      </c>
      <c r="D150" s="35"/>
      <c r="E150" s="35">
        <v>6</v>
      </c>
      <c r="F150" s="35">
        <v>199639</v>
      </c>
      <c r="G150" s="35" t="s">
        <v>34</v>
      </c>
      <c r="H150" s="35">
        <v>442</v>
      </c>
      <c r="I150" s="35">
        <v>74263</v>
      </c>
      <c r="J150" s="35">
        <v>24496137</v>
      </c>
      <c r="K150" s="35">
        <v>93432</v>
      </c>
      <c r="L150" s="36">
        <v>2320570</v>
      </c>
    </row>
    <row r="151" spans="1:12" ht="14.25" customHeight="1" x14ac:dyDescent="0.3">
      <c r="A151" s="37">
        <v>150</v>
      </c>
      <c r="B151" s="37">
        <v>1</v>
      </c>
      <c r="C151" s="37">
        <v>33</v>
      </c>
      <c r="D151" s="37"/>
      <c r="E151" s="37">
        <v>7</v>
      </c>
      <c r="F151" s="37">
        <v>199640</v>
      </c>
      <c r="G151" s="37" t="s">
        <v>35</v>
      </c>
      <c r="H151" s="37">
        <v>442</v>
      </c>
      <c r="I151" s="37">
        <v>74264</v>
      </c>
      <c r="J151" s="37">
        <v>24496140</v>
      </c>
      <c r="K151" s="37">
        <v>89700</v>
      </c>
      <c r="L151" s="38">
        <v>2227878</v>
      </c>
    </row>
    <row r="152" spans="1:12" ht="14.25" customHeight="1" x14ac:dyDescent="0.3">
      <c r="A152" s="35">
        <v>151</v>
      </c>
      <c r="B152" s="35">
        <v>1</v>
      </c>
      <c r="C152" s="35">
        <v>33</v>
      </c>
      <c r="D152" s="35"/>
      <c r="E152" s="35">
        <v>8</v>
      </c>
      <c r="F152" s="35">
        <v>199641</v>
      </c>
      <c r="G152" s="35" t="s">
        <v>36</v>
      </c>
      <c r="H152" s="35">
        <v>442</v>
      </c>
      <c r="I152" s="35">
        <v>74265</v>
      </c>
      <c r="J152" s="35">
        <v>24496141</v>
      </c>
      <c r="K152" s="35">
        <v>89700</v>
      </c>
      <c r="L152" s="36">
        <v>2227878</v>
      </c>
    </row>
    <row r="153" spans="1:12" ht="14.25" customHeight="1" x14ac:dyDescent="0.3">
      <c r="A153" s="37">
        <v>152</v>
      </c>
      <c r="B153" s="37">
        <v>1</v>
      </c>
      <c r="C153" s="37">
        <v>33</v>
      </c>
      <c r="D153" s="37"/>
      <c r="E153" s="37">
        <v>9</v>
      </c>
      <c r="F153" s="37">
        <v>199642</v>
      </c>
      <c r="G153" s="37" t="s">
        <v>37</v>
      </c>
      <c r="H153" s="37">
        <v>442</v>
      </c>
      <c r="I153" s="37">
        <v>74266</v>
      </c>
      <c r="J153" s="37">
        <v>24496143</v>
      </c>
      <c r="K153" s="37">
        <v>89700</v>
      </c>
      <c r="L153" s="38">
        <v>2227878</v>
      </c>
    </row>
    <row r="154" spans="1:12" ht="14.25" customHeight="1" x14ac:dyDescent="0.3">
      <c r="A154" s="35">
        <v>153</v>
      </c>
      <c r="B154" s="35">
        <v>1</v>
      </c>
      <c r="C154" s="35">
        <v>33</v>
      </c>
      <c r="D154" s="35"/>
      <c r="E154" s="35">
        <v>10</v>
      </c>
      <c r="F154" s="35">
        <v>199643</v>
      </c>
      <c r="G154" s="35" t="s">
        <v>38</v>
      </c>
      <c r="H154" s="35">
        <v>442</v>
      </c>
      <c r="I154" s="35">
        <v>74267</v>
      </c>
      <c r="J154" s="35">
        <v>24496149</v>
      </c>
      <c r="K154" s="35">
        <v>89700</v>
      </c>
      <c r="L154" s="36">
        <v>2227878</v>
      </c>
    </row>
    <row r="155" spans="1:12" ht="14.25" customHeight="1" x14ac:dyDescent="0.3">
      <c r="A155" s="37">
        <v>154</v>
      </c>
      <c r="B155" s="37">
        <v>1</v>
      </c>
      <c r="C155" s="37">
        <v>33</v>
      </c>
      <c r="D155" s="37"/>
      <c r="E155" s="37">
        <v>11</v>
      </c>
      <c r="F155" s="37">
        <v>199644</v>
      </c>
      <c r="G155" s="37" t="s">
        <v>39</v>
      </c>
      <c r="H155" s="37">
        <v>442</v>
      </c>
      <c r="I155" s="37">
        <v>74268</v>
      </c>
      <c r="J155" s="37">
        <v>24496151</v>
      </c>
      <c r="K155" s="37">
        <v>89700</v>
      </c>
      <c r="L155" s="38">
        <v>2227878</v>
      </c>
    </row>
    <row r="156" spans="1:12" ht="14.25" customHeight="1" x14ac:dyDescent="0.3">
      <c r="A156" s="35">
        <v>155</v>
      </c>
      <c r="B156" s="35">
        <v>1</v>
      </c>
      <c r="C156" s="35">
        <v>33</v>
      </c>
      <c r="D156" s="35"/>
      <c r="E156" s="35">
        <v>12</v>
      </c>
      <c r="F156" s="35">
        <v>199645</v>
      </c>
      <c r="G156" s="35" t="s">
        <v>40</v>
      </c>
      <c r="H156" s="35">
        <v>442</v>
      </c>
      <c r="I156" s="35">
        <v>74269</v>
      </c>
      <c r="J156" s="35">
        <v>24496171</v>
      </c>
      <c r="K156" s="35">
        <v>89700</v>
      </c>
      <c r="L156" s="36">
        <v>2227878</v>
      </c>
    </row>
    <row r="157" spans="1:12" ht="14.25" customHeight="1" x14ac:dyDescent="0.3">
      <c r="A157" s="37">
        <v>156</v>
      </c>
      <c r="B157" s="37">
        <v>1</v>
      </c>
      <c r="C157" s="37">
        <v>33</v>
      </c>
      <c r="D157" s="37"/>
      <c r="E157" s="37">
        <v>13</v>
      </c>
      <c r="F157" s="37">
        <v>199646</v>
      </c>
      <c r="G157" s="37" t="s">
        <v>41</v>
      </c>
      <c r="H157" s="37">
        <v>442</v>
      </c>
      <c r="I157" s="37">
        <v>74270</v>
      </c>
      <c r="J157" s="37">
        <v>24496206</v>
      </c>
      <c r="K157" s="37">
        <v>89700</v>
      </c>
      <c r="L157" s="38">
        <v>2227878</v>
      </c>
    </row>
    <row r="158" spans="1:12" ht="14.25" customHeight="1" x14ac:dyDescent="0.3">
      <c r="A158" s="35">
        <v>157</v>
      </c>
      <c r="B158" s="35">
        <v>1</v>
      </c>
      <c r="C158" s="35">
        <v>33</v>
      </c>
      <c r="D158" s="35"/>
      <c r="E158" s="35">
        <v>14</v>
      </c>
      <c r="F158" s="35">
        <v>199647</v>
      </c>
      <c r="G158" s="35" t="s">
        <v>43</v>
      </c>
      <c r="H158" s="35">
        <v>442</v>
      </c>
      <c r="I158" s="35">
        <v>74271</v>
      </c>
      <c r="J158" s="35">
        <v>24496211</v>
      </c>
      <c r="K158" s="35">
        <v>89700</v>
      </c>
      <c r="L158" s="36">
        <v>2227878</v>
      </c>
    </row>
    <row r="159" spans="1:12" ht="14.25" customHeight="1" x14ac:dyDescent="0.3">
      <c r="A159" s="37">
        <v>158</v>
      </c>
      <c r="B159" s="37">
        <v>1</v>
      </c>
      <c r="C159" s="37">
        <v>33</v>
      </c>
      <c r="D159" s="37"/>
      <c r="E159" s="37">
        <v>15</v>
      </c>
      <c r="F159" s="37">
        <v>199648</v>
      </c>
      <c r="G159" s="37" t="s">
        <v>44</v>
      </c>
      <c r="H159" s="37">
        <v>442</v>
      </c>
      <c r="I159" s="37">
        <v>74272</v>
      </c>
      <c r="J159" s="37">
        <v>24496218</v>
      </c>
      <c r="K159" s="37">
        <v>86904</v>
      </c>
      <c r="L159" s="38">
        <v>2158434</v>
      </c>
    </row>
    <row r="160" spans="1:12" ht="14.25" customHeight="1" x14ac:dyDescent="0.3">
      <c r="A160" s="35">
        <v>159</v>
      </c>
      <c r="B160" s="35">
        <v>1</v>
      </c>
      <c r="C160" s="35">
        <v>33</v>
      </c>
      <c r="D160" s="35"/>
      <c r="E160" s="35">
        <v>16</v>
      </c>
      <c r="F160" s="35">
        <v>199649</v>
      </c>
      <c r="G160" s="35" t="s">
        <v>47</v>
      </c>
      <c r="H160" s="35">
        <v>442</v>
      </c>
      <c r="I160" s="35">
        <v>74273</v>
      </c>
      <c r="J160" s="35">
        <v>24496224</v>
      </c>
      <c r="K160" s="35">
        <v>75114</v>
      </c>
      <c r="L160" s="36">
        <v>1865606</v>
      </c>
    </row>
    <row r="161" spans="1:12" ht="14.25" customHeight="1" x14ac:dyDescent="0.3">
      <c r="A161" s="37">
        <v>160</v>
      </c>
      <c r="B161" s="37">
        <v>1</v>
      </c>
      <c r="C161" s="37">
        <v>33</v>
      </c>
      <c r="D161" s="37"/>
      <c r="E161" s="37">
        <v>17</v>
      </c>
      <c r="F161" s="37">
        <v>199650</v>
      </c>
      <c r="G161" s="37" t="s">
        <v>48</v>
      </c>
      <c r="H161" s="37">
        <v>442</v>
      </c>
      <c r="I161" s="37">
        <v>74274</v>
      </c>
      <c r="J161" s="37">
        <v>24496262</v>
      </c>
      <c r="K161" s="37">
        <v>75114</v>
      </c>
      <c r="L161" s="38">
        <v>1865606</v>
      </c>
    </row>
    <row r="162" spans="1:12" ht="14.25" customHeight="1" x14ac:dyDescent="0.3">
      <c r="A162" s="35">
        <v>161</v>
      </c>
      <c r="B162" s="35">
        <v>1</v>
      </c>
      <c r="C162" s="35">
        <v>33</v>
      </c>
      <c r="D162" s="35"/>
      <c r="E162" s="35">
        <v>18</v>
      </c>
      <c r="F162" s="35">
        <v>199651</v>
      </c>
      <c r="G162" s="35" t="s">
        <v>49</v>
      </c>
      <c r="H162" s="35">
        <v>442</v>
      </c>
      <c r="I162" s="35">
        <v>74275</v>
      </c>
      <c r="J162" s="35">
        <v>24496266</v>
      </c>
      <c r="K162" s="35">
        <v>75114</v>
      </c>
      <c r="L162" s="36">
        <v>1865606</v>
      </c>
    </row>
    <row r="163" spans="1:12" ht="14.25" customHeight="1" x14ac:dyDescent="0.3">
      <c r="A163" s="37">
        <v>162</v>
      </c>
      <c r="B163" s="37">
        <v>1</v>
      </c>
      <c r="C163" s="37">
        <v>33</v>
      </c>
      <c r="D163" s="37"/>
      <c r="E163" s="37">
        <v>19</v>
      </c>
      <c r="F163" s="37">
        <v>199652</v>
      </c>
      <c r="G163" s="37" t="s">
        <v>50</v>
      </c>
      <c r="H163" s="37">
        <v>442</v>
      </c>
      <c r="I163" s="37">
        <v>74276</v>
      </c>
      <c r="J163" s="37">
        <v>24496272</v>
      </c>
      <c r="K163" s="37">
        <v>75114</v>
      </c>
      <c r="L163" s="38">
        <v>1865606</v>
      </c>
    </row>
    <row r="164" spans="1:12" ht="14.25" customHeight="1" x14ac:dyDescent="0.3">
      <c r="A164" s="35">
        <v>163</v>
      </c>
      <c r="B164" s="35">
        <v>1</v>
      </c>
      <c r="C164" s="35">
        <v>33</v>
      </c>
      <c r="D164" s="35"/>
      <c r="E164" s="35">
        <v>20</v>
      </c>
      <c r="F164" s="35">
        <v>199653</v>
      </c>
      <c r="G164" s="35" t="s">
        <v>51</v>
      </c>
      <c r="H164" s="35">
        <v>442</v>
      </c>
      <c r="I164" s="35">
        <v>74277</v>
      </c>
      <c r="J164" s="35">
        <v>24496279</v>
      </c>
      <c r="K164" s="35">
        <v>93432</v>
      </c>
      <c r="L164" s="36">
        <v>2320570</v>
      </c>
    </row>
    <row r="165" spans="1:12" ht="14.25" customHeight="1" x14ac:dyDescent="0.3">
      <c r="A165" s="37">
        <v>164</v>
      </c>
      <c r="B165" s="37">
        <v>1</v>
      </c>
      <c r="C165" s="37">
        <v>33</v>
      </c>
      <c r="D165" s="37"/>
      <c r="E165" s="37">
        <v>21</v>
      </c>
      <c r="F165" s="37">
        <v>199654</v>
      </c>
      <c r="G165" s="37" t="s">
        <v>52</v>
      </c>
      <c r="H165" s="37">
        <v>442</v>
      </c>
      <c r="I165" s="37">
        <v>74278</v>
      </c>
      <c r="J165" s="37">
        <v>24496290</v>
      </c>
      <c r="K165" s="37">
        <v>89700</v>
      </c>
      <c r="L165" s="38">
        <v>2227878</v>
      </c>
    </row>
    <row r="166" spans="1:12" ht="14.25" customHeight="1" x14ac:dyDescent="0.3">
      <c r="A166" s="35">
        <v>165</v>
      </c>
      <c r="B166" s="35">
        <v>1</v>
      </c>
      <c r="C166" s="35">
        <v>33</v>
      </c>
      <c r="D166" s="35"/>
      <c r="E166" s="35">
        <v>22</v>
      </c>
      <c r="F166" s="35">
        <v>199655</v>
      </c>
      <c r="G166" s="35" t="s">
        <v>53</v>
      </c>
      <c r="H166" s="35">
        <v>442</v>
      </c>
      <c r="I166" s="35">
        <v>74279</v>
      </c>
      <c r="J166" s="35">
        <v>24496293</v>
      </c>
      <c r="K166" s="35">
        <v>89700</v>
      </c>
      <c r="L166" s="36">
        <v>2227878</v>
      </c>
    </row>
    <row r="167" spans="1:12" ht="14.25" customHeight="1" x14ac:dyDescent="0.3">
      <c r="A167" s="37">
        <v>166</v>
      </c>
      <c r="B167" s="37">
        <v>1</v>
      </c>
      <c r="C167" s="37">
        <v>33</v>
      </c>
      <c r="D167" s="37"/>
      <c r="E167" s="37">
        <v>23</v>
      </c>
      <c r="F167" s="37">
        <v>199656</v>
      </c>
      <c r="G167" s="37" t="s">
        <v>54</v>
      </c>
      <c r="H167" s="37">
        <v>442</v>
      </c>
      <c r="I167" s="37">
        <v>74280</v>
      </c>
      <c r="J167" s="37">
        <v>24496296</v>
      </c>
      <c r="K167" s="37">
        <v>89700</v>
      </c>
      <c r="L167" s="38">
        <v>2227878</v>
      </c>
    </row>
    <row r="168" spans="1:12" ht="14.25" customHeight="1" x14ac:dyDescent="0.3">
      <c r="A168" s="35">
        <v>167</v>
      </c>
      <c r="B168" s="35">
        <v>1</v>
      </c>
      <c r="C168" s="35">
        <v>33</v>
      </c>
      <c r="D168" s="35"/>
      <c r="E168" s="35">
        <v>24</v>
      </c>
      <c r="F168" s="35">
        <v>199657</v>
      </c>
      <c r="G168" s="35" t="s">
        <v>55</v>
      </c>
      <c r="H168" s="35">
        <v>442</v>
      </c>
      <c r="I168" s="35">
        <v>74281</v>
      </c>
      <c r="J168" s="35">
        <v>24496299</v>
      </c>
      <c r="K168" s="35">
        <v>89700</v>
      </c>
      <c r="L168" s="36">
        <v>2227878</v>
      </c>
    </row>
    <row r="169" spans="1:12" ht="14.25" customHeight="1" x14ac:dyDescent="0.3">
      <c r="A169" s="37">
        <v>168</v>
      </c>
      <c r="B169" s="37">
        <v>1</v>
      </c>
      <c r="C169" s="37">
        <v>33</v>
      </c>
      <c r="D169" s="37"/>
      <c r="E169" s="37">
        <v>25</v>
      </c>
      <c r="F169" s="37">
        <v>199658</v>
      </c>
      <c r="G169" s="37" t="s">
        <v>56</v>
      </c>
      <c r="H169" s="37">
        <v>442</v>
      </c>
      <c r="I169" s="37">
        <v>74282</v>
      </c>
      <c r="J169" s="37">
        <v>24496337</v>
      </c>
      <c r="K169" s="37">
        <v>89700</v>
      </c>
      <c r="L169" s="38">
        <v>2227878</v>
      </c>
    </row>
    <row r="170" spans="1:12" ht="14.25" customHeight="1" x14ac:dyDescent="0.3">
      <c r="A170" s="35">
        <v>169</v>
      </c>
      <c r="B170" s="35">
        <v>1</v>
      </c>
      <c r="C170" s="35">
        <v>33</v>
      </c>
      <c r="D170" s="35"/>
      <c r="E170" s="35">
        <v>26</v>
      </c>
      <c r="F170" s="35">
        <v>199659</v>
      </c>
      <c r="G170" s="35" t="s">
        <v>57</v>
      </c>
      <c r="H170" s="35">
        <v>442</v>
      </c>
      <c r="I170" s="35">
        <v>74283</v>
      </c>
      <c r="J170" s="35">
        <v>24496343</v>
      </c>
      <c r="K170" s="35">
        <v>89700</v>
      </c>
      <c r="L170" s="36">
        <v>2227878</v>
      </c>
    </row>
    <row r="171" spans="1:12" ht="14.25" customHeight="1" x14ac:dyDescent="0.3">
      <c r="A171" s="37">
        <v>170</v>
      </c>
      <c r="B171" s="37">
        <v>1</v>
      </c>
      <c r="C171" s="37">
        <v>33</v>
      </c>
      <c r="D171" s="37"/>
      <c r="E171" s="37">
        <v>27</v>
      </c>
      <c r="F171" s="37">
        <v>199660</v>
      </c>
      <c r="G171" s="37" t="s">
        <v>58</v>
      </c>
      <c r="H171" s="37">
        <v>442</v>
      </c>
      <c r="I171" s="37">
        <v>74284</v>
      </c>
      <c r="J171" s="37">
        <v>24496345</v>
      </c>
      <c r="K171" s="37">
        <v>89700</v>
      </c>
      <c r="L171" s="38">
        <v>2227878</v>
      </c>
    </row>
    <row r="172" spans="1:12" ht="14.25" customHeight="1" x14ac:dyDescent="0.3">
      <c r="A172" s="35">
        <v>171</v>
      </c>
      <c r="B172" s="35">
        <v>1</v>
      </c>
      <c r="C172" s="35">
        <v>33</v>
      </c>
      <c r="D172" s="35"/>
      <c r="E172" s="35">
        <v>28</v>
      </c>
      <c r="F172" s="35">
        <v>199661</v>
      </c>
      <c r="G172" s="35" t="s">
        <v>59</v>
      </c>
      <c r="H172" s="35">
        <v>442</v>
      </c>
      <c r="I172" s="35">
        <v>74285</v>
      </c>
      <c r="J172" s="35">
        <v>24496360</v>
      </c>
      <c r="K172" s="35">
        <v>89700</v>
      </c>
      <c r="L172" s="36">
        <v>2227878</v>
      </c>
    </row>
    <row r="173" spans="1:12" ht="14.25" customHeight="1" x14ac:dyDescent="0.3">
      <c r="A173" s="37">
        <v>172</v>
      </c>
      <c r="B173" s="37">
        <v>1</v>
      </c>
      <c r="C173" s="37">
        <v>94</v>
      </c>
      <c r="D173" s="37"/>
      <c r="E173" s="37">
        <v>1</v>
      </c>
      <c r="F173" s="37">
        <v>199602</v>
      </c>
      <c r="G173" s="37">
        <v>46588</v>
      </c>
      <c r="H173" s="37">
        <v>442</v>
      </c>
      <c r="I173" s="37">
        <v>74374</v>
      </c>
      <c r="J173" s="37">
        <v>24496485</v>
      </c>
      <c r="K173" s="37">
        <v>102720</v>
      </c>
      <c r="L173" s="38">
        <v>2551256</v>
      </c>
    </row>
    <row r="174" spans="1:12" ht="14.25" customHeight="1" x14ac:dyDescent="0.3">
      <c r="A174" s="35">
        <v>173</v>
      </c>
      <c r="B174" s="35">
        <v>1</v>
      </c>
      <c r="C174" s="35">
        <v>94</v>
      </c>
      <c r="D174" s="35"/>
      <c r="E174" s="35">
        <v>2</v>
      </c>
      <c r="F174" s="35">
        <v>199603</v>
      </c>
      <c r="G174" s="35">
        <v>46589</v>
      </c>
      <c r="H174" s="35">
        <v>442</v>
      </c>
      <c r="I174" s="35">
        <v>74378</v>
      </c>
      <c r="J174" s="35">
        <v>24496488</v>
      </c>
      <c r="K174" s="35">
        <v>75114</v>
      </c>
      <c r="L174" s="36">
        <v>1865606</v>
      </c>
    </row>
    <row r="175" spans="1:12" ht="14.25" customHeight="1" x14ac:dyDescent="0.3">
      <c r="A175" s="37">
        <v>174</v>
      </c>
      <c r="B175" s="37">
        <v>1</v>
      </c>
      <c r="C175" s="37">
        <v>94</v>
      </c>
      <c r="D175" s="37"/>
      <c r="E175" s="37">
        <v>3</v>
      </c>
      <c r="F175" s="37">
        <v>199604</v>
      </c>
      <c r="G175" s="37">
        <v>46590</v>
      </c>
      <c r="H175" s="37">
        <v>442</v>
      </c>
      <c r="I175" s="37">
        <v>74379</v>
      </c>
      <c r="J175" s="37">
        <v>24496490</v>
      </c>
      <c r="K175" s="37">
        <v>75114</v>
      </c>
      <c r="L175" s="38">
        <v>1865606</v>
      </c>
    </row>
    <row r="176" spans="1:12" ht="14.25" customHeight="1" x14ac:dyDescent="0.3">
      <c r="A176" s="35">
        <v>175</v>
      </c>
      <c r="B176" s="35">
        <v>1</v>
      </c>
      <c r="C176" s="35">
        <v>94</v>
      </c>
      <c r="D176" s="35"/>
      <c r="E176" s="35">
        <v>4</v>
      </c>
      <c r="F176" s="35">
        <v>199605</v>
      </c>
      <c r="G176" s="35">
        <v>46591</v>
      </c>
      <c r="H176" s="35">
        <v>442</v>
      </c>
      <c r="I176" s="35">
        <v>74350</v>
      </c>
      <c r="J176" s="35">
        <v>24496492</v>
      </c>
      <c r="K176" s="35">
        <v>75114</v>
      </c>
      <c r="L176" s="36">
        <v>1865606</v>
      </c>
    </row>
    <row r="177" spans="1:12" ht="14.25" customHeight="1" x14ac:dyDescent="0.3">
      <c r="A177" s="37">
        <v>176</v>
      </c>
      <c r="B177" s="37">
        <v>1</v>
      </c>
      <c r="C177" s="37">
        <v>94</v>
      </c>
      <c r="D177" s="37"/>
      <c r="E177" s="37">
        <v>5</v>
      </c>
      <c r="F177" s="37">
        <v>199606</v>
      </c>
      <c r="G177" s="37">
        <v>46592</v>
      </c>
      <c r="H177" s="37">
        <v>442</v>
      </c>
      <c r="I177" s="37">
        <v>74351</v>
      </c>
      <c r="J177" s="37">
        <v>24496563</v>
      </c>
      <c r="K177" s="37">
        <v>75114</v>
      </c>
      <c r="L177" s="38">
        <v>1865606</v>
      </c>
    </row>
    <row r="178" spans="1:12" ht="14.25" customHeight="1" x14ac:dyDescent="0.3">
      <c r="A178" s="35">
        <v>177</v>
      </c>
      <c r="B178" s="35">
        <v>1</v>
      </c>
      <c r="C178" s="35">
        <v>94</v>
      </c>
      <c r="D178" s="35"/>
      <c r="E178" s="35">
        <v>6</v>
      </c>
      <c r="F178" s="35">
        <v>199607</v>
      </c>
      <c r="G178" s="35">
        <v>46593</v>
      </c>
      <c r="H178" s="35">
        <v>442</v>
      </c>
      <c r="I178" s="35">
        <v>74352</v>
      </c>
      <c r="J178" s="35">
        <v>24496567</v>
      </c>
      <c r="K178" s="35">
        <v>75114</v>
      </c>
      <c r="L178" s="36">
        <v>1865606</v>
      </c>
    </row>
    <row r="179" spans="1:12" ht="14.25" customHeight="1" x14ac:dyDescent="0.3">
      <c r="A179" s="37">
        <v>178</v>
      </c>
      <c r="B179" s="37">
        <v>1</v>
      </c>
      <c r="C179" s="37">
        <v>94</v>
      </c>
      <c r="D179" s="37"/>
      <c r="E179" s="37">
        <v>7</v>
      </c>
      <c r="F179" s="37">
        <v>199608</v>
      </c>
      <c r="G179" s="37">
        <v>46594</v>
      </c>
      <c r="H179" s="37">
        <v>442</v>
      </c>
      <c r="I179" s="37">
        <v>74353</v>
      </c>
      <c r="J179" s="37">
        <v>24496568</v>
      </c>
      <c r="K179" s="37">
        <v>93432</v>
      </c>
      <c r="L179" s="38">
        <v>2320570</v>
      </c>
    </row>
    <row r="180" spans="1:12" ht="14.25" customHeight="1" x14ac:dyDescent="0.3">
      <c r="A180" s="35">
        <v>179</v>
      </c>
      <c r="B180" s="35">
        <v>1</v>
      </c>
      <c r="C180" s="35">
        <v>94</v>
      </c>
      <c r="D180" s="35"/>
      <c r="E180" s="35">
        <v>8</v>
      </c>
      <c r="F180" s="35">
        <v>199609</v>
      </c>
      <c r="G180" s="35">
        <v>46595</v>
      </c>
      <c r="H180" s="35">
        <v>442</v>
      </c>
      <c r="I180" s="35">
        <v>74354</v>
      </c>
      <c r="J180" s="35">
        <v>24496571</v>
      </c>
      <c r="K180" s="35">
        <v>107460</v>
      </c>
      <c r="L180" s="36">
        <v>2668984</v>
      </c>
    </row>
    <row r="181" spans="1:12" ht="14.25" customHeight="1" x14ac:dyDescent="0.3">
      <c r="A181" s="37">
        <v>180</v>
      </c>
      <c r="B181" s="37">
        <v>1</v>
      </c>
      <c r="C181" s="37">
        <v>94</v>
      </c>
      <c r="D181" s="37"/>
      <c r="E181" s="37">
        <v>9</v>
      </c>
      <c r="F181" s="37">
        <v>199610</v>
      </c>
      <c r="G181" s="37">
        <v>46596</v>
      </c>
      <c r="H181" s="37">
        <v>442</v>
      </c>
      <c r="I181" s="37">
        <v>74355</v>
      </c>
      <c r="J181" s="37">
        <v>24496573</v>
      </c>
      <c r="K181" s="37">
        <v>107460</v>
      </c>
      <c r="L181" s="38">
        <v>2668984</v>
      </c>
    </row>
    <row r="182" spans="1:12" ht="14.25" customHeight="1" x14ac:dyDescent="0.3">
      <c r="A182" s="35">
        <v>181</v>
      </c>
      <c r="B182" s="35">
        <v>1</v>
      </c>
      <c r="C182" s="35">
        <v>94</v>
      </c>
      <c r="D182" s="35"/>
      <c r="E182" s="35">
        <v>10</v>
      </c>
      <c r="F182" s="35">
        <v>199611</v>
      </c>
      <c r="G182" s="35">
        <v>46597</v>
      </c>
      <c r="H182" s="35">
        <v>442</v>
      </c>
      <c r="I182" s="35">
        <v>74356</v>
      </c>
      <c r="J182" s="35">
        <v>24496576</v>
      </c>
      <c r="K182" s="35">
        <v>107460</v>
      </c>
      <c r="L182" s="36">
        <v>2668984</v>
      </c>
    </row>
    <row r="183" spans="1:12" ht="14.25" customHeight="1" x14ac:dyDescent="0.3">
      <c r="A183" s="37">
        <v>182</v>
      </c>
      <c r="B183" s="37">
        <v>1</v>
      </c>
      <c r="C183" s="37">
        <v>94</v>
      </c>
      <c r="D183" s="37"/>
      <c r="E183" s="37">
        <v>11</v>
      </c>
      <c r="F183" s="37">
        <v>199612</v>
      </c>
      <c r="G183" s="37">
        <v>46598</v>
      </c>
      <c r="H183" s="37">
        <v>442</v>
      </c>
      <c r="I183" s="37">
        <v>74361</v>
      </c>
      <c r="J183" s="37">
        <v>24496577</v>
      </c>
      <c r="K183" s="37">
        <v>107460</v>
      </c>
      <c r="L183" s="38">
        <v>2668984</v>
      </c>
    </row>
    <row r="184" spans="1:12" ht="14.25" customHeight="1" x14ac:dyDescent="0.3">
      <c r="A184" s="35">
        <v>183</v>
      </c>
      <c r="B184" s="35">
        <v>1</v>
      </c>
      <c r="C184" s="35">
        <v>94</v>
      </c>
      <c r="D184" s="35"/>
      <c r="E184" s="35">
        <v>12</v>
      </c>
      <c r="F184" s="35">
        <v>199613</v>
      </c>
      <c r="G184" s="35">
        <v>46599</v>
      </c>
      <c r="H184" s="35">
        <v>442</v>
      </c>
      <c r="I184" s="35">
        <v>74362</v>
      </c>
      <c r="J184" s="35">
        <v>24496587</v>
      </c>
      <c r="K184" s="35">
        <v>107460</v>
      </c>
      <c r="L184" s="36">
        <v>2668984</v>
      </c>
    </row>
    <row r="185" spans="1:12" ht="14.25" customHeight="1" x14ac:dyDescent="0.3">
      <c r="A185" s="37">
        <v>184</v>
      </c>
      <c r="B185" s="37">
        <v>1</v>
      </c>
      <c r="C185" s="37">
        <v>94</v>
      </c>
      <c r="D185" s="37"/>
      <c r="E185" s="37">
        <v>13</v>
      </c>
      <c r="F185" s="37">
        <v>199614</v>
      </c>
      <c r="G185" s="37">
        <v>46600</v>
      </c>
      <c r="H185" s="37">
        <v>442</v>
      </c>
      <c r="I185" s="37">
        <v>74363</v>
      </c>
      <c r="J185" s="37">
        <v>24496588</v>
      </c>
      <c r="K185" s="37">
        <v>107460</v>
      </c>
      <c r="L185" s="38">
        <v>2668984</v>
      </c>
    </row>
    <row r="186" spans="1:12" ht="14.25" customHeight="1" x14ac:dyDescent="0.3">
      <c r="A186" s="35">
        <v>185</v>
      </c>
      <c r="B186" s="35">
        <v>1</v>
      </c>
      <c r="C186" s="35">
        <v>94</v>
      </c>
      <c r="D186" s="35"/>
      <c r="E186" s="35">
        <v>14</v>
      </c>
      <c r="F186" s="35">
        <v>199615</v>
      </c>
      <c r="G186" s="35">
        <v>46601</v>
      </c>
      <c r="H186" s="35">
        <v>442</v>
      </c>
      <c r="I186" s="35">
        <v>74364</v>
      </c>
      <c r="J186" s="35">
        <v>24496593</v>
      </c>
      <c r="K186" s="35">
        <v>107460</v>
      </c>
      <c r="L186" s="36">
        <v>2668984</v>
      </c>
    </row>
    <row r="187" spans="1:12" ht="14.25" customHeight="1" x14ac:dyDescent="0.3">
      <c r="A187" s="37">
        <v>186</v>
      </c>
      <c r="B187" s="37">
        <v>1</v>
      </c>
      <c r="C187" s="37">
        <v>94</v>
      </c>
      <c r="D187" s="37"/>
      <c r="E187" s="37">
        <v>15</v>
      </c>
      <c r="F187" s="37">
        <v>199616</v>
      </c>
      <c r="G187" s="37">
        <v>46602</v>
      </c>
      <c r="H187" s="37">
        <v>442</v>
      </c>
      <c r="I187" s="37">
        <v>74365</v>
      </c>
      <c r="J187" s="37">
        <v>24496670</v>
      </c>
      <c r="K187" s="37">
        <v>107460</v>
      </c>
      <c r="L187" s="38">
        <v>2668984</v>
      </c>
    </row>
    <row r="188" spans="1:12" ht="14.25" customHeight="1" x14ac:dyDescent="0.3">
      <c r="A188" s="35">
        <v>187</v>
      </c>
      <c r="B188" s="35">
        <v>1</v>
      </c>
      <c r="C188" s="35">
        <v>94</v>
      </c>
      <c r="D188" s="35"/>
      <c r="E188" s="35">
        <v>16</v>
      </c>
      <c r="F188" s="35">
        <v>199617</v>
      </c>
      <c r="G188" s="35">
        <v>46603</v>
      </c>
      <c r="H188" s="35">
        <v>442</v>
      </c>
      <c r="I188" s="35">
        <v>74366</v>
      </c>
      <c r="J188" s="35">
        <v>24496671</v>
      </c>
      <c r="K188" s="35">
        <v>93432</v>
      </c>
      <c r="L188" s="36">
        <v>2320570</v>
      </c>
    </row>
    <row r="189" spans="1:12" ht="14.25" customHeight="1" x14ac:dyDescent="0.3">
      <c r="A189" s="37">
        <v>188</v>
      </c>
      <c r="B189" s="37">
        <v>1</v>
      </c>
      <c r="C189" s="37">
        <v>94</v>
      </c>
      <c r="D189" s="37"/>
      <c r="E189" s="37">
        <v>17</v>
      </c>
      <c r="F189" s="37">
        <v>199618</v>
      </c>
      <c r="G189" s="37">
        <v>46604</v>
      </c>
      <c r="H189" s="37">
        <v>442</v>
      </c>
      <c r="I189" s="37">
        <v>74367</v>
      </c>
      <c r="J189" s="37">
        <v>24496672</v>
      </c>
      <c r="K189" s="37">
        <v>75114</v>
      </c>
      <c r="L189" s="38">
        <v>1865606</v>
      </c>
    </row>
    <row r="190" spans="1:12" ht="14.25" customHeight="1" x14ac:dyDescent="0.3">
      <c r="A190" s="35">
        <v>189</v>
      </c>
      <c r="B190" s="35">
        <v>1</v>
      </c>
      <c r="C190" s="35">
        <v>94</v>
      </c>
      <c r="D190" s="35"/>
      <c r="E190" s="35">
        <v>18</v>
      </c>
      <c r="F190" s="35">
        <v>199619</v>
      </c>
      <c r="G190" s="35">
        <v>46605</v>
      </c>
      <c r="H190" s="35">
        <v>442</v>
      </c>
      <c r="I190" s="35">
        <v>74368</v>
      </c>
      <c r="J190" s="35">
        <v>24496678</v>
      </c>
      <c r="K190" s="35">
        <v>75114</v>
      </c>
      <c r="L190" s="36">
        <v>1865606</v>
      </c>
    </row>
    <row r="191" spans="1:12" ht="14.25" customHeight="1" x14ac:dyDescent="0.3">
      <c r="A191" s="37">
        <v>190</v>
      </c>
      <c r="B191" s="37">
        <v>1</v>
      </c>
      <c r="C191" s="37">
        <v>94</v>
      </c>
      <c r="D191" s="37"/>
      <c r="E191" s="37">
        <v>19</v>
      </c>
      <c r="F191" s="37">
        <v>199620</v>
      </c>
      <c r="G191" s="37">
        <v>46606</v>
      </c>
      <c r="H191" s="37">
        <v>442</v>
      </c>
      <c r="I191" s="37">
        <v>74369</v>
      </c>
      <c r="J191" s="37">
        <v>24496681</v>
      </c>
      <c r="K191" s="37">
        <v>75114</v>
      </c>
      <c r="L191" s="38">
        <v>1865606</v>
      </c>
    </row>
    <row r="192" spans="1:12" ht="14.25" customHeight="1" x14ac:dyDescent="0.3">
      <c r="A192" s="35">
        <v>191</v>
      </c>
      <c r="B192" s="35">
        <v>1</v>
      </c>
      <c r="C192" s="35">
        <v>94</v>
      </c>
      <c r="D192" s="35"/>
      <c r="E192" s="35">
        <v>20</v>
      </c>
      <c r="F192" s="35">
        <v>199621</v>
      </c>
      <c r="G192" s="35">
        <v>46607</v>
      </c>
      <c r="H192" s="35">
        <v>442</v>
      </c>
      <c r="I192" s="35">
        <v>74370</v>
      </c>
      <c r="J192" s="35">
        <v>24496685</v>
      </c>
      <c r="K192" s="35">
        <v>75114</v>
      </c>
      <c r="L192" s="36">
        <v>1865606</v>
      </c>
    </row>
    <row r="193" spans="1:12" ht="14.25" customHeight="1" x14ac:dyDescent="0.3">
      <c r="A193" s="37">
        <v>192</v>
      </c>
      <c r="B193" s="37">
        <v>1</v>
      </c>
      <c r="C193" s="37">
        <v>94</v>
      </c>
      <c r="D193" s="37"/>
      <c r="E193" s="37">
        <v>21</v>
      </c>
      <c r="F193" s="37">
        <v>199622</v>
      </c>
      <c r="G193" s="37">
        <v>4608</v>
      </c>
      <c r="H193" s="37">
        <v>442</v>
      </c>
      <c r="I193" s="37">
        <v>74379</v>
      </c>
      <c r="J193" s="37">
        <v>24496741</v>
      </c>
      <c r="K193" s="37">
        <v>75114</v>
      </c>
      <c r="L193" s="38">
        <v>1865606</v>
      </c>
    </row>
    <row r="194" spans="1:12" ht="14.25" customHeight="1" x14ac:dyDescent="0.3">
      <c r="A194" s="35">
        <v>193</v>
      </c>
      <c r="B194" s="35">
        <v>1</v>
      </c>
      <c r="C194" s="35">
        <v>94</v>
      </c>
      <c r="D194" s="35"/>
      <c r="E194" s="35">
        <v>22</v>
      </c>
      <c r="F194" s="35">
        <v>199623</v>
      </c>
      <c r="G194" s="35">
        <v>46609</v>
      </c>
      <c r="H194" s="35">
        <v>442</v>
      </c>
      <c r="I194" s="35">
        <v>74380</v>
      </c>
      <c r="J194" s="35">
        <v>24496744</v>
      </c>
      <c r="K194" s="35">
        <v>110880</v>
      </c>
      <c r="L194" s="36">
        <v>2753926</v>
      </c>
    </row>
    <row r="195" spans="1:12" ht="14.25" customHeight="1" x14ac:dyDescent="0.3">
      <c r="A195" s="37">
        <v>194</v>
      </c>
      <c r="B195" s="37">
        <v>1</v>
      </c>
      <c r="C195" s="37">
        <v>94</v>
      </c>
      <c r="D195" s="37"/>
      <c r="E195" s="37">
        <v>23</v>
      </c>
      <c r="F195" s="37">
        <v>199624</v>
      </c>
      <c r="G195" s="37">
        <v>46610</v>
      </c>
      <c r="H195" s="37">
        <v>442</v>
      </c>
      <c r="I195" s="37">
        <v>74381</v>
      </c>
      <c r="J195" s="37">
        <v>24496747</v>
      </c>
      <c r="K195" s="37">
        <v>81075</v>
      </c>
      <c r="L195" s="38">
        <v>2013674</v>
      </c>
    </row>
    <row r="196" spans="1:12" ht="14.25" customHeight="1" x14ac:dyDescent="0.3">
      <c r="A196" s="35">
        <v>195</v>
      </c>
      <c r="B196" s="35">
        <v>1</v>
      </c>
      <c r="C196" s="35">
        <v>94</v>
      </c>
      <c r="D196" s="35"/>
      <c r="E196" s="35">
        <v>24</v>
      </c>
      <c r="F196" s="35">
        <v>199625</v>
      </c>
      <c r="G196" s="35">
        <v>46611</v>
      </c>
      <c r="H196" s="35">
        <v>442</v>
      </c>
      <c r="I196" s="35">
        <v>74382</v>
      </c>
      <c r="J196" s="35">
        <v>24496752</v>
      </c>
      <c r="K196" s="35">
        <v>107730</v>
      </c>
      <c r="L196" s="36">
        <v>2675690</v>
      </c>
    </row>
    <row r="197" spans="1:12" ht="14.25" customHeight="1" x14ac:dyDescent="0.3">
      <c r="A197" s="37">
        <v>196</v>
      </c>
      <c r="B197" s="37">
        <v>1</v>
      </c>
      <c r="C197" s="37">
        <v>94</v>
      </c>
      <c r="D197" s="37"/>
      <c r="E197" s="37">
        <v>25</v>
      </c>
      <c r="F197" s="37">
        <v>199626</v>
      </c>
      <c r="G197" s="37">
        <v>46612</v>
      </c>
      <c r="H197" s="37">
        <v>442</v>
      </c>
      <c r="I197" s="37">
        <v>74383</v>
      </c>
      <c r="J197" s="37">
        <v>24496753</v>
      </c>
      <c r="K197" s="37">
        <v>107730</v>
      </c>
      <c r="L197" s="38">
        <v>2675690</v>
      </c>
    </row>
    <row r="198" spans="1:12" ht="14.25" customHeight="1" x14ac:dyDescent="0.3">
      <c r="A198" s="35">
        <v>197</v>
      </c>
      <c r="B198" s="35">
        <v>1</v>
      </c>
      <c r="C198" s="35">
        <v>94</v>
      </c>
      <c r="D198" s="35"/>
      <c r="E198" s="35">
        <v>26</v>
      </c>
      <c r="F198" s="35">
        <v>199627</v>
      </c>
      <c r="G198" s="35">
        <v>46613</v>
      </c>
      <c r="H198" s="35">
        <v>442</v>
      </c>
      <c r="I198" s="35">
        <v>74374</v>
      </c>
      <c r="J198" s="35">
        <v>24496754</v>
      </c>
      <c r="K198" s="35">
        <v>107730</v>
      </c>
      <c r="L198" s="36">
        <v>2675690</v>
      </c>
    </row>
    <row r="199" spans="1:12" ht="14.25" customHeight="1" x14ac:dyDescent="0.3">
      <c r="A199" s="37">
        <v>198</v>
      </c>
      <c r="B199" s="37">
        <v>1</v>
      </c>
      <c r="C199" s="37">
        <v>94</v>
      </c>
      <c r="D199" s="37"/>
      <c r="E199" s="37">
        <v>27</v>
      </c>
      <c r="F199" s="37">
        <v>199628</v>
      </c>
      <c r="G199" s="37">
        <v>46614</v>
      </c>
      <c r="H199" s="37">
        <v>442</v>
      </c>
      <c r="I199" s="37">
        <v>74397</v>
      </c>
      <c r="J199" s="37">
        <v>24496757</v>
      </c>
      <c r="K199" s="37">
        <v>107730</v>
      </c>
      <c r="L199" s="38">
        <v>2675690</v>
      </c>
    </row>
    <row r="200" spans="1:12" ht="14.25" customHeight="1" x14ac:dyDescent="0.3">
      <c r="A200" s="35">
        <v>199</v>
      </c>
      <c r="B200" s="35">
        <v>1</v>
      </c>
      <c r="C200" s="35">
        <v>94</v>
      </c>
      <c r="D200" s="35"/>
      <c r="E200" s="35">
        <v>28</v>
      </c>
      <c r="F200" s="35">
        <v>199629</v>
      </c>
      <c r="G200" s="35">
        <v>46615</v>
      </c>
      <c r="H200" s="35">
        <v>442</v>
      </c>
      <c r="I200" s="35">
        <v>74398</v>
      </c>
      <c r="J200" s="35">
        <v>24496760</v>
      </c>
      <c r="K200" s="35">
        <v>107730</v>
      </c>
      <c r="L200" s="36">
        <v>2675690</v>
      </c>
    </row>
    <row r="201" spans="1:12" ht="14.25" customHeight="1" x14ac:dyDescent="0.3">
      <c r="A201" s="37">
        <v>200</v>
      </c>
      <c r="B201" s="37">
        <v>1</v>
      </c>
      <c r="C201" s="37">
        <v>94</v>
      </c>
      <c r="D201" s="37"/>
      <c r="E201" s="37">
        <v>29</v>
      </c>
      <c r="F201" s="37">
        <v>199630</v>
      </c>
      <c r="G201" s="37">
        <v>46616</v>
      </c>
      <c r="H201" s="37">
        <v>442</v>
      </c>
      <c r="I201" s="37">
        <v>75773</v>
      </c>
      <c r="J201" s="37">
        <v>24496768</v>
      </c>
      <c r="K201" s="37">
        <v>107730</v>
      </c>
      <c r="L201" s="38">
        <v>2675690</v>
      </c>
    </row>
    <row r="202" spans="1:12" ht="14.25" customHeight="1" x14ac:dyDescent="0.3">
      <c r="A202" s="35">
        <v>201</v>
      </c>
      <c r="B202" s="35">
        <v>1</v>
      </c>
      <c r="C202" s="35">
        <v>94</v>
      </c>
      <c r="D202" s="35"/>
      <c r="E202" s="35">
        <v>30</v>
      </c>
      <c r="F202" s="35">
        <v>199631</v>
      </c>
      <c r="G202" s="35">
        <v>46617</v>
      </c>
      <c r="H202" s="35">
        <v>442</v>
      </c>
      <c r="I202" s="35">
        <v>75774</v>
      </c>
      <c r="J202" s="35">
        <v>24496772</v>
      </c>
      <c r="K202" s="35">
        <v>107730</v>
      </c>
      <c r="L202" s="36">
        <v>2675690</v>
      </c>
    </row>
    <row r="203" spans="1:12" ht="14.25" customHeight="1" x14ac:dyDescent="0.3">
      <c r="A203" s="37">
        <v>202</v>
      </c>
      <c r="B203" s="37">
        <v>1</v>
      </c>
      <c r="C203" s="37">
        <v>94</v>
      </c>
      <c r="D203" s="37"/>
      <c r="E203" s="37">
        <v>31</v>
      </c>
      <c r="F203" s="37">
        <v>199632</v>
      </c>
      <c r="G203" s="37">
        <v>46618</v>
      </c>
      <c r="H203" s="37">
        <v>442</v>
      </c>
      <c r="I203" s="37">
        <v>75775</v>
      </c>
      <c r="J203" s="37">
        <v>24496773</v>
      </c>
      <c r="K203" s="37">
        <v>107730</v>
      </c>
      <c r="L203" s="38">
        <v>2675690</v>
      </c>
    </row>
    <row r="204" spans="1:12" ht="14.25" customHeight="1" x14ac:dyDescent="0.3">
      <c r="A204" s="35">
        <v>203</v>
      </c>
      <c r="B204" s="35">
        <v>1</v>
      </c>
      <c r="C204" s="35">
        <v>94</v>
      </c>
      <c r="D204" s="35"/>
      <c r="E204" s="35">
        <v>32</v>
      </c>
      <c r="F204" s="35">
        <v>199633</v>
      </c>
      <c r="G204" s="35">
        <v>46619</v>
      </c>
      <c r="H204" s="35">
        <v>442</v>
      </c>
      <c r="I204" s="35">
        <v>75776</v>
      </c>
      <c r="J204" s="35">
        <v>24496775</v>
      </c>
      <c r="K204" s="35">
        <v>81075</v>
      </c>
      <c r="L204" s="36">
        <v>2013674</v>
      </c>
    </row>
    <row r="205" spans="1:12" ht="14.25" customHeight="1" x14ac:dyDescent="0.3">
      <c r="A205" s="37">
        <v>204</v>
      </c>
      <c r="B205" s="37">
        <v>1</v>
      </c>
      <c r="C205" s="37">
        <v>95</v>
      </c>
      <c r="D205" s="37"/>
      <c r="E205" s="37">
        <v>2</v>
      </c>
      <c r="F205" s="37">
        <v>95545</v>
      </c>
      <c r="G205" s="37" t="s">
        <v>60</v>
      </c>
      <c r="H205" s="37">
        <v>442</v>
      </c>
      <c r="I205" s="37">
        <v>74399</v>
      </c>
      <c r="J205" s="37">
        <v>24502844</v>
      </c>
      <c r="K205" s="37">
        <v>74412</v>
      </c>
      <c r="L205" s="38">
        <v>1848170</v>
      </c>
    </row>
    <row r="206" spans="1:12" ht="14.25" customHeight="1" x14ac:dyDescent="0.3">
      <c r="A206" s="35">
        <v>205</v>
      </c>
      <c r="B206" s="35">
        <v>1</v>
      </c>
      <c r="C206" s="35">
        <v>95</v>
      </c>
      <c r="D206" s="35"/>
      <c r="E206" s="35">
        <v>3</v>
      </c>
      <c r="F206" s="35">
        <v>95546</v>
      </c>
      <c r="G206" s="35" t="s">
        <v>61</v>
      </c>
      <c r="H206" s="35">
        <v>442</v>
      </c>
      <c r="I206" s="35">
        <v>74400</v>
      </c>
      <c r="J206" s="35">
        <v>24502847</v>
      </c>
      <c r="K206" s="35">
        <v>74412</v>
      </c>
      <c r="L206" s="36">
        <v>1848170</v>
      </c>
    </row>
    <row r="207" spans="1:12" ht="14.25" customHeight="1" x14ac:dyDescent="0.3">
      <c r="A207" s="37">
        <v>206</v>
      </c>
      <c r="B207" s="37">
        <v>1</v>
      </c>
      <c r="C207" s="37">
        <v>95</v>
      </c>
      <c r="D207" s="37"/>
      <c r="E207" s="37">
        <v>4</v>
      </c>
      <c r="F207" s="37">
        <v>95547</v>
      </c>
      <c r="G207" s="37" t="s">
        <v>62</v>
      </c>
      <c r="H207" s="37">
        <v>442</v>
      </c>
      <c r="I207" s="37">
        <v>74411</v>
      </c>
      <c r="J207" s="37">
        <v>24502853</v>
      </c>
      <c r="K207" s="37">
        <v>73008</v>
      </c>
      <c r="L207" s="38">
        <v>1813299</v>
      </c>
    </row>
    <row r="208" spans="1:12" ht="14.25" customHeight="1" x14ac:dyDescent="0.3">
      <c r="A208" s="35">
        <v>207</v>
      </c>
      <c r="B208" s="35">
        <v>1</v>
      </c>
      <c r="C208" s="35">
        <v>95</v>
      </c>
      <c r="D208" s="35"/>
      <c r="E208" s="35">
        <v>5</v>
      </c>
      <c r="F208" s="35">
        <v>95548</v>
      </c>
      <c r="G208" s="35" t="s">
        <v>63</v>
      </c>
      <c r="H208" s="35">
        <v>442</v>
      </c>
      <c r="I208" s="35">
        <v>74412</v>
      </c>
      <c r="J208" s="35">
        <v>24502855</v>
      </c>
      <c r="K208" s="35">
        <v>77220</v>
      </c>
      <c r="L208" s="36">
        <v>1917913</v>
      </c>
    </row>
    <row r="209" spans="1:12" ht="14.25" customHeight="1" x14ac:dyDescent="0.3">
      <c r="A209" s="37">
        <v>208</v>
      </c>
      <c r="B209" s="37">
        <v>1</v>
      </c>
      <c r="C209" s="37">
        <v>95</v>
      </c>
      <c r="D209" s="37"/>
      <c r="E209" s="37">
        <v>6</v>
      </c>
      <c r="F209" s="37">
        <v>95549</v>
      </c>
      <c r="G209" s="37" t="s">
        <v>64</v>
      </c>
      <c r="H209" s="37">
        <v>442</v>
      </c>
      <c r="I209" s="37">
        <v>74413</v>
      </c>
      <c r="J209" s="37">
        <v>24506797</v>
      </c>
      <c r="K209" s="37">
        <v>93840</v>
      </c>
      <c r="L209" s="38">
        <v>2330704</v>
      </c>
    </row>
    <row r="210" spans="1:12" ht="14.25" customHeight="1" x14ac:dyDescent="0.3">
      <c r="A210" s="35">
        <v>209</v>
      </c>
      <c r="B210" s="35">
        <v>1</v>
      </c>
      <c r="C210" s="35">
        <v>95</v>
      </c>
      <c r="D210" s="35"/>
      <c r="E210" s="35">
        <v>7</v>
      </c>
      <c r="F210" s="35">
        <v>95550</v>
      </c>
      <c r="G210" s="35" t="s">
        <v>65</v>
      </c>
      <c r="H210" s="35">
        <v>442</v>
      </c>
      <c r="I210" s="35">
        <v>74414</v>
      </c>
      <c r="J210" s="35">
        <v>24502857</v>
      </c>
      <c r="K210" s="35">
        <v>89700</v>
      </c>
      <c r="L210" s="36">
        <v>2227878</v>
      </c>
    </row>
    <row r="211" spans="1:12" ht="14.25" customHeight="1" x14ac:dyDescent="0.3">
      <c r="A211" s="37">
        <v>210</v>
      </c>
      <c r="B211" s="37">
        <v>1</v>
      </c>
      <c r="C211" s="37">
        <v>95</v>
      </c>
      <c r="D211" s="37"/>
      <c r="E211" s="37">
        <v>8</v>
      </c>
      <c r="F211" s="37">
        <v>95551</v>
      </c>
      <c r="G211" s="37" t="s">
        <v>66</v>
      </c>
      <c r="H211" s="37">
        <v>442</v>
      </c>
      <c r="I211" s="37">
        <v>74415</v>
      </c>
      <c r="J211" s="37">
        <v>24502859</v>
      </c>
      <c r="K211" s="37">
        <v>87906</v>
      </c>
      <c r="L211" s="38">
        <v>2183321</v>
      </c>
    </row>
    <row r="212" spans="1:12" ht="14.25" customHeight="1" x14ac:dyDescent="0.3">
      <c r="A212" s="35">
        <v>211</v>
      </c>
      <c r="B212" s="35">
        <v>1</v>
      </c>
      <c r="C212" s="35">
        <v>95</v>
      </c>
      <c r="D212" s="35"/>
      <c r="E212" s="35">
        <v>9</v>
      </c>
      <c r="F212" s="35">
        <v>95552</v>
      </c>
      <c r="G212" s="35" t="s">
        <v>67</v>
      </c>
      <c r="H212" s="35">
        <v>442</v>
      </c>
      <c r="I212" s="35">
        <v>74416</v>
      </c>
      <c r="J212" s="35">
        <v>24502860</v>
      </c>
      <c r="K212" s="35">
        <v>87906</v>
      </c>
      <c r="L212" s="36">
        <v>2183321</v>
      </c>
    </row>
    <row r="213" spans="1:12" ht="14.25" customHeight="1" x14ac:dyDescent="0.3">
      <c r="A213" s="37">
        <v>212</v>
      </c>
      <c r="B213" s="37">
        <v>1</v>
      </c>
      <c r="C213" s="37">
        <v>95</v>
      </c>
      <c r="D213" s="37"/>
      <c r="E213" s="37">
        <v>10</v>
      </c>
      <c r="F213" s="37">
        <v>95553</v>
      </c>
      <c r="G213" s="37" t="s">
        <v>68</v>
      </c>
      <c r="H213" s="37">
        <v>442</v>
      </c>
      <c r="I213" s="37">
        <v>74417</v>
      </c>
      <c r="J213" s="37">
        <v>24502863</v>
      </c>
      <c r="K213" s="37">
        <v>87906</v>
      </c>
      <c r="L213" s="38">
        <v>2183321</v>
      </c>
    </row>
    <row r="214" spans="1:12" ht="14.25" customHeight="1" x14ac:dyDescent="0.3">
      <c r="A214" s="35">
        <v>213</v>
      </c>
      <c r="B214" s="35">
        <v>1</v>
      </c>
      <c r="C214" s="35">
        <v>95</v>
      </c>
      <c r="D214" s="35"/>
      <c r="E214" s="35">
        <v>11</v>
      </c>
      <c r="F214" s="35">
        <v>95554</v>
      </c>
      <c r="G214" s="35" t="s">
        <v>69</v>
      </c>
      <c r="H214" s="35">
        <v>442</v>
      </c>
      <c r="I214" s="35">
        <v>74418</v>
      </c>
      <c r="J214" s="35">
        <v>24502866</v>
      </c>
      <c r="K214" s="35">
        <v>87906</v>
      </c>
      <c r="L214" s="36">
        <v>2183321</v>
      </c>
    </row>
    <row r="215" spans="1:12" ht="14.25" customHeight="1" x14ac:dyDescent="0.3">
      <c r="A215" s="37">
        <v>214</v>
      </c>
      <c r="B215" s="37">
        <v>1</v>
      </c>
      <c r="C215" s="37">
        <v>95</v>
      </c>
      <c r="D215" s="37"/>
      <c r="E215" s="37">
        <v>12</v>
      </c>
      <c r="F215" s="37">
        <v>95555</v>
      </c>
      <c r="G215" s="37" t="s">
        <v>70</v>
      </c>
      <c r="H215" s="37">
        <v>442</v>
      </c>
      <c r="I215" s="37">
        <v>74419</v>
      </c>
      <c r="J215" s="37">
        <v>24502870</v>
      </c>
      <c r="K215" s="37">
        <v>89700</v>
      </c>
      <c r="L215" s="38">
        <v>2227878</v>
      </c>
    </row>
    <row r="216" spans="1:12" ht="14.25" customHeight="1" x14ac:dyDescent="0.3">
      <c r="A216" s="35">
        <v>215</v>
      </c>
      <c r="B216" s="35">
        <v>1</v>
      </c>
      <c r="C216" s="35">
        <v>95</v>
      </c>
      <c r="D216" s="35"/>
      <c r="E216" s="35">
        <v>13</v>
      </c>
      <c r="F216" s="35">
        <v>95556</v>
      </c>
      <c r="G216" s="35" t="s">
        <v>71</v>
      </c>
      <c r="H216" s="35">
        <v>442</v>
      </c>
      <c r="I216" s="35">
        <v>74420</v>
      </c>
      <c r="J216" s="35">
        <v>24502874</v>
      </c>
      <c r="K216" s="35">
        <v>87906</v>
      </c>
      <c r="L216" s="36">
        <v>2183321</v>
      </c>
    </row>
    <row r="217" spans="1:12" ht="14.25" customHeight="1" x14ac:dyDescent="0.3">
      <c r="A217" s="37">
        <v>216</v>
      </c>
      <c r="B217" s="37">
        <v>1</v>
      </c>
      <c r="C217" s="37">
        <v>95</v>
      </c>
      <c r="D217" s="37"/>
      <c r="E217" s="37">
        <v>14</v>
      </c>
      <c r="F217" s="37">
        <v>95557</v>
      </c>
      <c r="G217" s="37" t="s">
        <v>72</v>
      </c>
      <c r="H217" s="37">
        <v>442</v>
      </c>
      <c r="I217" s="37">
        <v>74421</v>
      </c>
      <c r="J217" s="37">
        <v>24502876</v>
      </c>
      <c r="K217" s="37">
        <v>87906</v>
      </c>
      <c r="L217" s="38">
        <v>2183321</v>
      </c>
    </row>
    <row r="218" spans="1:12" ht="14.25" customHeight="1" x14ac:dyDescent="0.3">
      <c r="A218" s="35">
        <v>217</v>
      </c>
      <c r="B218" s="35">
        <v>1</v>
      </c>
      <c r="C218" s="35">
        <v>95</v>
      </c>
      <c r="D218" s="35"/>
      <c r="E218" s="35">
        <v>15</v>
      </c>
      <c r="F218" s="35">
        <v>95558</v>
      </c>
      <c r="G218" s="35" t="s">
        <v>73</v>
      </c>
      <c r="H218" s="35">
        <v>442</v>
      </c>
      <c r="I218" s="35">
        <v>74422</v>
      </c>
      <c r="J218" s="35">
        <v>24502908</v>
      </c>
      <c r="K218" s="35">
        <v>93432</v>
      </c>
      <c r="L218" s="36">
        <v>2320570</v>
      </c>
    </row>
    <row r="219" spans="1:12" ht="14.25" customHeight="1" x14ac:dyDescent="0.3">
      <c r="A219" s="37">
        <v>218</v>
      </c>
      <c r="B219" s="37">
        <v>1</v>
      </c>
      <c r="C219" s="37">
        <v>95</v>
      </c>
      <c r="D219" s="37"/>
      <c r="E219" s="37">
        <v>16</v>
      </c>
      <c r="F219" s="37">
        <v>95559</v>
      </c>
      <c r="G219" s="37" t="s">
        <v>74</v>
      </c>
      <c r="H219" s="37">
        <v>442</v>
      </c>
      <c r="I219" s="37">
        <v>74423</v>
      </c>
      <c r="J219" s="37">
        <v>24502912</v>
      </c>
      <c r="K219" s="37">
        <v>74412</v>
      </c>
      <c r="L219" s="38">
        <v>1848170</v>
      </c>
    </row>
    <row r="220" spans="1:12" ht="14.25" customHeight="1" x14ac:dyDescent="0.3">
      <c r="A220" s="35">
        <v>219</v>
      </c>
      <c r="B220" s="35">
        <v>1</v>
      </c>
      <c r="C220" s="35">
        <v>95</v>
      </c>
      <c r="D220" s="35"/>
      <c r="E220" s="35">
        <v>17</v>
      </c>
      <c r="F220" s="35">
        <v>95560</v>
      </c>
      <c r="G220" s="35" t="s">
        <v>75</v>
      </c>
      <c r="H220" s="35">
        <v>442</v>
      </c>
      <c r="I220" s="35">
        <v>74424</v>
      </c>
      <c r="J220" s="35">
        <v>24502916</v>
      </c>
      <c r="K220" s="35">
        <v>77922</v>
      </c>
      <c r="L220" s="36">
        <v>1935348</v>
      </c>
    </row>
    <row r="221" spans="1:12" ht="14.25" customHeight="1" x14ac:dyDescent="0.3">
      <c r="A221" s="37">
        <v>220</v>
      </c>
      <c r="B221" s="37">
        <v>1</v>
      </c>
      <c r="C221" s="37">
        <v>95</v>
      </c>
      <c r="D221" s="37"/>
      <c r="E221" s="37">
        <v>18</v>
      </c>
      <c r="F221" s="37">
        <v>95561</v>
      </c>
      <c r="G221" s="37" t="s">
        <v>76</v>
      </c>
      <c r="H221" s="37">
        <v>442</v>
      </c>
      <c r="I221" s="37">
        <v>74425</v>
      </c>
      <c r="J221" s="37">
        <v>24502919</v>
      </c>
      <c r="K221" s="37">
        <v>73008</v>
      </c>
      <c r="L221" s="38">
        <v>1813299</v>
      </c>
    </row>
    <row r="222" spans="1:12" ht="14.25" customHeight="1" x14ac:dyDescent="0.3">
      <c r="A222" s="35">
        <v>221</v>
      </c>
      <c r="B222" s="35">
        <v>1</v>
      </c>
      <c r="C222" s="35">
        <v>95</v>
      </c>
      <c r="D222" s="35"/>
      <c r="E222" s="35">
        <v>19</v>
      </c>
      <c r="F222" s="35">
        <v>95562</v>
      </c>
      <c r="G222" s="35" t="s">
        <v>77</v>
      </c>
      <c r="H222" s="35">
        <v>442</v>
      </c>
      <c r="I222" s="35">
        <v>74426</v>
      </c>
      <c r="J222" s="35">
        <v>24502921</v>
      </c>
      <c r="K222" s="35">
        <v>74412</v>
      </c>
      <c r="L222" s="36">
        <v>1848170</v>
      </c>
    </row>
    <row r="223" spans="1:12" ht="14.25" customHeight="1" x14ac:dyDescent="0.3">
      <c r="A223" s="37">
        <v>222</v>
      </c>
      <c r="B223" s="37">
        <v>1</v>
      </c>
      <c r="C223" s="37">
        <v>95</v>
      </c>
      <c r="D223" s="37"/>
      <c r="E223" s="37">
        <v>20</v>
      </c>
      <c r="F223" s="37">
        <v>95563</v>
      </c>
      <c r="G223" s="37" t="s">
        <v>78</v>
      </c>
      <c r="H223" s="37">
        <v>442</v>
      </c>
      <c r="I223" s="37">
        <v>74427</v>
      </c>
      <c r="J223" s="37">
        <v>24502923</v>
      </c>
      <c r="K223" s="37">
        <v>1156624</v>
      </c>
      <c r="L223" s="38">
        <v>28727090</v>
      </c>
    </row>
    <row r="224" spans="1:12" ht="14.25" customHeight="1" x14ac:dyDescent="0.3">
      <c r="A224" s="35">
        <v>223</v>
      </c>
      <c r="B224" s="35">
        <v>1</v>
      </c>
      <c r="C224" s="35">
        <v>95</v>
      </c>
      <c r="D224" s="35"/>
      <c r="E224" s="35">
        <v>21</v>
      </c>
      <c r="F224" s="35">
        <v>95564</v>
      </c>
      <c r="G224" s="35" t="s">
        <v>79</v>
      </c>
      <c r="H224" s="35">
        <v>442</v>
      </c>
      <c r="I224" s="35">
        <v>74428</v>
      </c>
      <c r="J224" s="35">
        <v>24503652</v>
      </c>
      <c r="K224" s="35">
        <v>88802</v>
      </c>
      <c r="L224" s="36">
        <v>2205585</v>
      </c>
    </row>
    <row r="225" spans="1:12" ht="14.25" customHeight="1" x14ac:dyDescent="0.3">
      <c r="A225" s="37">
        <v>224</v>
      </c>
      <c r="B225" s="37">
        <v>1</v>
      </c>
      <c r="C225" s="37">
        <v>95</v>
      </c>
      <c r="D225" s="37"/>
      <c r="E225" s="37">
        <v>22</v>
      </c>
      <c r="F225" s="37">
        <v>95565</v>
      </c>
      <c r="G225" s="37" t="s">
        <v>80</v>
      </c>
      <c r="H225" s="37">
        <v>442</v>
      </c>
      <c r="I225" s="37">
        <v>74429</v>
      </c>
      <c r="J225" s="37">
        <v>24503654</v>
      </c>
      <c r="K225" s="37">
        <v>87008</v>
      </c>
      <c r="L225" s="38">
        <v>2161027</v>
      </c>
    </row>
    <row r="226" spans="1:12" ht="14.25" customHeight="1" x14ac:dyDescent="0.3">
      <c r="A226" s="35">
        <v>225</v>
      </c>
      <c r="B226" s="35">
        <v>1</v>
      </c>
      <c r="C226" s="35">
        <v>95</v>
      </c>
      <c r="D226" s="35"/>
      <c r="E226" s="35">
        <v>23</v>
      </c>
      <c r="F226" s="35">
        <v>95566</v>
      </c>
      <c r="G226" s="35" t="s">
        <v>81</v>
      </c>
      <c r="H226" s="35">
        <v>442</v>
      </c>
      <c r="I226" s="35">
        <v>74430</v>
      </c>
      <c r="J226" s="35">
        <v>24503656</v>
      </c>
      <c r="K226" s="35">
        <v>90596</v>
      </c>
      <c r="L226" s="36">
        <v>2250142</v>
      </c>
    </row>
    <row r="227" spans="1:12" ht="14.25" customHeight="1" x14ac:dyDescent="0.3">
      <c r="A227" s="37">
        <v>226</v>
      </c>
      <c r="B227" s="37">
        <v>1</v>
      </c>
      <c r="C227" s="37">
        <v>95</v>
      </c>
      <c r="D227" s="37"/>
      <c r="E227" s="37">
        <v>24</v>
      </c>
      <c r="F227" s="37">
        <v>95567</v>
      </c>
      <c r="G227" s="37" t="s">
        <v>82</v>
      </c>
      <c r="H227" s="37">
        <v>442</v>
      </c>
      <c r="I227" s="37">
        <v>74431</v>
      </c>
      <c r="J227" s="37">
        <v>24503661</v>
      </c>
      <c r="K227" s="37">
        <v>88802</v>
      </c>
      <c r="L227" s="38">
        <v>2205585</v>
      </c>
    </row>
    <row r="228" spans="1:12" ht="14.25" customHeight="1" x14ac:dyDescent="0.3">
      <c r="A228" s="35">
        <v>227</v>
      </c>
      <c r="B228" s="35">
        <v>1</v>
      </c>
      <c r="C228" s="35">
        <v>95</v>
      </c>
      <c r="D228" s="35"/>
      <c r="E228" s="35">
        <v>25</v>
      </c>
      <c r="F228" s="35">
        <v>95568</v>
      </c>
      <c r="G228" s="35" t="s">
        <v>83</v>
      </c>
      <c r="H228" s="35">
        <v>442</v>
      </c>
      <c r="I228" s="35">
        <v>74432</v>
      </c>
      <c r="J228" s="35">
        <v>24503663</v>
      </c>
      <c r="K228" s="35">
        <v>90596</v>
      </c>
      <c r="L228" s="36">
        <v>2250142</v>
      </c>
    </row>
    <row r="229" spans="1:12" ht="14.25" customHeight="1" x14ac:dyDescent="0.3">
      <c r="A229" s="37">
        <v>228</v>
      </c>
      <c r="B229" s="37">
        <v>1</v>
      </c>
      <c r="C229" s="37">
        <v>95</v>
      </c>
      <c r="D229" s="37"/>
      <c r="E229" s="37">
        <v>26</v>
      </c>
      <c r="F229" s="37">
        <v>95569</v>
      </c>
      <c r="G229" s="37" t="s">
        <v>84</v>
      </c>
      <c r="H229" s="37">
        <v>442</v>
      </c>
      <c r="I229" s="37">
        <v>74433</v>
      </c>
      <c r="J229" s="37">
        <v>24503664</v>
      </c>
      <c r="K229" s="37">
        <v>87906</v>
      </c>
      <c r="L229" s="38">
        <v>2183321</v>
      </c>
    </row>
    <row r="230" spans="1:12" ht="14.25" customHeight="1" x14ac:dyDescent="0.3">
      <c r="A230" s="35">
        <v>229</v>
      </c>
      <c r="B230" s="35">
        <v>1</v>
      </c>
      <c r="C230" s="35">
        <v>95</v>
      </c>
      <c r="D230" s="35"/>
      <c r="E230" s="35">
        <v>27</v>
      </c>
      <c r="F230" s="35">
        <v>95570</v>
      </c>
      <c r="G230" s="35" t="s">
        <v>85</v>
      </c>
      <c r="H230" s="35">
        <v>442</v>
      </c>
      <c r="I230" s="35">
        <v>74434</v>
      </c>
      <c r="J230" s="35">
        <v>24503667</v>
      </c>
      <c r="K230" s="35">
        <v>86112</v>
      </c>
      <c r="L230" s="36">
        <v>2138763</v>
      </c>
    </row>
    <row r="231" spans="1:12" ht="14.25" customHeight="1" x14ac:dyDescent="0.3">
      <c r="A231" s="37">
        <v>230</v>
      </c>
      <c r="B231" s="37">
        <v>1</v>
      </c>
      <c r="C231" s="37">
        <v>95</v>
      </c>
      <c r="D231" s="37"/>
      <c r="E231" s="37">
        <v>28</v>
      </c>
      <c r="F231" s="37">
        <v>95571</v>
      </c>
      <c r="G231" s="37" t="s">
        <v>86</v>
      </c>
      <c r="H231" s="37">
        <v>442</v>
      </c>
      <c r="I231" s="37">
        <v>74435</v>
      </c>
      <c r="J231" s="37">
        <v>24503668</v>
      </c>
      <c r="K231" s="37">
        <v>87906</v>
      </c>
      <c r="L231" s="38">
        <v>2183321</v>
      </c>
    </row>
    <row r="232" spans="1:12" ht="14.25" customHeight="1" x14ac:dyDescent="0.3"/>
    <row r="233" spans="1:12" ht="14.25" customHeight="1" x14ac:dyDescent="0.3"/>
    <row r="234" spans="1:12" ht="14.25" customHeight="1" x14ac:dyDescent="0.3"/>
    <row r="235" spans="1:12" ht="14.25" customHeight="1" x14ac:dyDescent="0.3"/>
    <row r="236" spans="1:12" ht="14.25" customHeight="1" x14ac:dyDescent="0.3"/>
    <row r="237" spans="1:12" ht="14.25" customHeight="1" x14ac:dyDescent="0.3"/>
    <row r="238" spans="1:12" ht="14.25" customHeight="1" x14ac:dyDescent="0.3"/>
    <row r="239" spans="1:12" ht="14.25" customHeight="1" x14ac:dyDescent="0.3"/>
    <row r="240" spans="1:12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L231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L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5" customWidth="1"/>
    <col min="2" max="2" width="9.5546875" customWidth="1"/>
    <col min="3" max="3" width="6" customWidth="1"/>
    <col min="4" max="5" width="10" customWidth="1"/>
    <col min="6" max="6" width="12" customWidth="1"/>
    <col min="7" max="7" width="14" customWidth="1"/>
    <col min="8" max="8" width="10" customWidth="1"/>
    <col min="9" max="9" width="12" customWidth="1"/>
    <col min="10" max="10" width="18" customWidth="1"/>
    <col min="11" max="11" width="14" customWidth="1"/>
    <col min="12" max="12" width="38" customWidth="1"/>
    <col min="13" max="26" width="8.6640625" customWidth="1"/>
  </cols>
  <sheetData>
    <row r="1" spans="1:12" ht="14.25" customHeight="1" x14ac:dyDescent="0.3">
      <c r="A1" s="39" t="str">
        <f>'Original Lotes Escritura'!A1</f>
        <v>N° Hugo</v>
      </c>
      <c r="B1" s="39" t="str">
        <f>'Original Lotes Escritura'!B1</f>
        <v>Circunscripción</v>
      </c>
      <c r="C1" s="39" t="str">
        <f>'Original Lotes Escritura'!C1</f>
        <v>Sección</v>
      </c>
      <c r="D1" s="39" t="str">
        <f>'Original Lotes Escritura'!D1</f>
        <v>Manzana</v>
      </c>
      <c r="E1" s="39" t="str">
        <f>'Original Lotes Escritura'!E1</f>
        <v>Parcela</v>
      </c>
      <c r="F1" s="39" t="str">
        <f>'Original Lotes Escritura'!F1</f>
        <v>Partida ARBA</v>
      </c>
      <c r="G1" s="39" t="str">
        <f>'Original Lotes Escritura'!G1</f>
        <v>Partida Municipal</v>
      </c>
      <c r="H1" s="39" t="str">
        <f>'Original Lotes Escritura'!H1</f>
        <v>Escritura</v>
      </c>
      <c r="I1" s="39" t="str">
        <f>'Original Lotes Escritura'!I1</f>
        <v>Matrícula / Folio</v>
      </c>
      <c r="J1" s="39" t="str">
        <f>'Original Lotes Escritura'!J1</f>
        <v>Certificado Catastral</v>
      </c>
      <c r="K1" s="39" t="str">
        <f>'Original Lotes Escritura'!K1</f>
        <v>Valuación Fiscal</v>
      </c>
      <c r="L1" s="39" t="str">
        <f>'Original Lotes Escritura'!L1</f>
        <v>VF al Acto</v>
      </c>
    </row>
    <row r="2" spans="1:12" ht="30" customHeight="1" x14ac:dyDescent="0.3">
      <c r="A2" s="4" t="s">
        <v>0</v>
      </c>
      <c r="B2" s="4" t="s">
        <v>226</v>
      </c>
      <c r="C2" s="4" t="s">
        <v>227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228</v>
      </c>
      <c r="J2" s="4" t="s">
        <v>9</v>
      </c>
      <c r="K2" s="4" t="s">
        <v>229</v>
      </c>
      <c r="L2" s="4" t="s">
        <v>230</v>
      </c>
    </row>
    <row r="3" spans="1:12" ht="14.25" customHeight="1" x14ac:dyDescent="0.3">
      <c r="A3" s="40">
        <v>1</v>
      </c>
      <c r="B3" s="40" t="s">
        <v>87</v>
      </c>
      <c r="C3" s="40" t="s">
        <v>23</v>
      </c>
      <c r="D3" s="40">
        <v>96</v>
      </c>
      <c r="E3" s="40">
        <v>1</v>
      </c>
      <c r="F3" s="40">
        <v>65900</v>
      </c>
      <c r="G3" s="40" t="s">
        <v>88</v>
      </c>
      <c r="H3" s="40">
        <v>442</v>
      </c>
      <c r="I3" s="40">
        <v>107881</v>
      </c>
      <c r="J3" s="40">
        <v>24505695</v>
      </c>
      <c r="K3" s="40" t="s">
        <v>89</v>
      </c>
      <c r="L3" s="41"/>
    </row>
    <row r="4" spans="1:12" ht="14.25" customHeight="1" x14ac:dyDescent="0.3">
      <c r="A4" s="40">
        <v>2</v>
      </c>
      <c r="B4" s="40" t="s">
        <v>87</v>
      </c>
      <c r="C4" s="40" t="s">
        <v>23</v>
      </c>
      <c r="D4" s="40">
        <v>96</v>
      </c>
      <c r="E4" s="40">
        <v>2</v>
      </c>
      <c r="F4" s="40">
        <v>95572</v>
      </c>
      <c r="G4" s="40" t="s">
        <v>90</v>
      </c>
      <c r="H4" s="40">
        <v>442</v>
      </c>
      <c r="I4" s="40">
        <v>107882</v>
      </c>
      <c r="J4" s="40">
        <v>24505697</v>
      </c>
      <c r="K4" s="40"/>
      <c r="L4" s="41"/>
    </row>
    <row r="5" spans="1:12" ht="14.25" customHeight="1" x14ac:dyDescent="0.3">
      <c r="A5" s="40">
        <v>3</v>
      </c>
      <c r="B5" s="40" t="s">
        <v>87</v>
      </c>
      <c r="C5" s="40" t="s">
        <v>23</v>
      </c>
      <c r="D5" s="40">
        <v>96</v>
      </c>
      <c r="E5" s="40">
        <v>3</v>
      </c>
      <c r="F5" s="40">
        <v>95573</v>
      </c>
      <c r="G5" s="40" t="s">
        <v>91</v>
      </c>
      <c r="H5" s="40">
        <v>442</v>
      </c>
      <c r="I5" s="40">
        <v>107883</v>
      </c>
      <c r="J5" s="40">
        <v>24505706</v>
      </c>
      <c r="K5" s="40"/>
      <c r="L5" s="41"/>
    </row>
    <row r="6" spans="1:12" ht="14.25" customHeight="1" x14ac:dyDescent="0.3">
      <c r="A6" s="40">
        <v>4</v>
      </c>
      <c r="B6" s="40" t="s">
        <v>87</v>
      </c>
      <c r="C6" s="40" t="s">
        <v>23</v>
      </c>
      <c r="D6" s="40">
        <v>96</v>
      </c>
      <c r="E6" s="40">
        <v>12</v>
      </c>
      <c r="F6" s="40">
        <v>95582</v>
      </c>
      <c r="G6" s="40" t="s">
        <v>92</v>
      </c>
      <c r="H6" s="40">
        <v>442</v>
      </c>
      <c r="I6" s="40">
        <v>30003</v>
      </c>
      <c r="J6" s="40">
        <v>24505709</v>
      </c>
      <c r="K6" s="40"/>
      <c r="L6" s="41"/>
    </row>
    <row r="7" spans="1:12" ht="14.25" customHeight="1" x14ac:dyDescent="0.3">
      <c r="A7" s="40">
        <v>5</v>
      </c>
      <c r="B7" s="40" t="s">
        <v>87</v>
      </c>
      <c r="C7" s="40" t="s">
        <v>23</v>
      </c>
      <c r="D7" s="40">
        <v>96</v>
      </c>
      <c r="E7" s="40">
        <v>13</v>
      </c>
      <c r="F7" s="40">
        <v>95583</v>
      </c>
      <c r="G7" s="40" t="s">
        <v>93</v>
      </c>
      <c r="H7" s="40">
        <v>442</v>
      </c>
      <c r="I7" s="40">
        <v>107884</v>
      </c>
      <c r="J7" s="40">
        <v>24505712</v>
      </c>
      <c r="K7" s="40"/>
      <c r="L7" s="41"/>
    </row>
    <row r="8" spans="1:12" ht="14.25" customHeight="1" x14ac:dyDescent="0.3">
      <c r="A8" s="40">
        <v>6</v>
      </c>
      <c r="B8" s="40" t="s">
        <v>87</v>
      </c>
      <c r="C8" s="40" t="s">
        <v>23</v>
      </c>
      <c r="D8" s="40">
        <v>96</v>
      </c>
      <c r="E8" s="40">
        <v>15</v>
      </c>
      <c r="F8" s="40">
        <v>95585</v>
      </c>
      <c r="G8" s="40" t="s">
        <v>94</v>
      </c>
      <c r="H8" s="40">
        <v>442</v>
      </c>
      <c r="I8" s="40">
        <v>107885</v>
      </c>
      <c r="J8" s="40">
        <v>24505722</v>
      </c>
      <c r="K8" s="40"/>
      <c r="L8" s="41"/>
    </row>
    <row r="9" spans="1:12" ht="14.25" customHeight="1" x14ac:dyDescent="0.3">
      <c r="A9" s="40">
        <v>7</v>
      </c>
      <c r="B9" s="40" t="s">
        <v>87</v>
      </c>
      <c r="C9" s="40" t="s">
        <v>23</v>
      </c>
      <c r="D9" s="40">
        <v>96</v>
      </c>
      <c r="E9" s="40">
        <v>16</v>
      </c>
      <c r="F9" s="40">
        <v>95586</v>
      </c>
      <c r="G9" s="40" t="s">
        <v>95</v>
      </c>
      <c r="H9" s="40">
        <v>442</v>
      </c>
      <c r="I9" s="40">
        <v>107886</v>
      </c>
      <c r="J9" s="40">
        <v>24505724</v>
      </c>
      <c r="K9" s="40"/>
      <c r="L9" s="41"/>
    </row>
    <row r="10" spans="1:12" ht="14.25" customHeight="1" x14ac:dyDescent="0.3">
      <c r="A10" s="40">
        <v>8</v>
      </c>
      <c r="B10" s="40" t="s">
        <v>87</v>
      </c>
      <c r="C10" s="40" t="s">
        <v>23</v>
      </c>
      <c r="D10" s="40">
        <v>96</v>
      </c>
      <c r="E10" s="40">
        <v>17</v>
      </c>
      <c r="F10" s="40">
        <v>95587</v>
      </c>
      <c r="G10" s="40" t="s">
        <v>96</v>
      </c>
      <c r="H10" s="40">
        <v>442</v>
      </c>
      <c r="I10" s="40">
        <v>107887</v>
      </c>
      <c r="J10" s="40">
        <v>24505727</v>
      </c>
      <c r="K10" s="40"/>
      <c r="L10" s="41"/>
    </row>
    <row r="11" spans="1:12" ht="14.25" customHeight="1" x14ac:dyDescent="0.3">
      <c r="A11" s="40">
        <v>9</v>
      </c>
      <c r="B11" s="40" t="s">
        <v>87</v>
      </c>
      <c r="C11" s="40" t="s">
        <v>23</v>
      </c>
      <c r="D11" s="40">
        <v>96</v>
      </c>
      <c r="E11" s="40">
        <v>19</v>
      </c>
      <c r="F11" s="40">
        <v>95589</v>
      </c>
      <c r="G11" s="40" t="s">
        <v>97</v>
      </c>
      <c r="H11" s="40">
        <v>442</v>
      </c>
      <c r="I11" s="40">
        <v>107888</v>
      </c>
      <c r="J11" s="40">
        <v>24505735</v>
      </c>
      <c r="K11" s="40"/>
      <c r="L11" s="41"/>
    </row>
    <row r="12" spans="1:12" ht="14.25" customHeight="1" x14ac:dyDescent="0.3">
      <c r="A12" s="40">
        <v>10</v>
      </c>
      <c r="B12" s="40" t="s">
        <v>87</v>
      </c>
      <c r="C12" s="40" t="s">
        <v>23</v>
      </c>
      <c r="D12" s="40">
        <v>96</v>
      </c>
      <c r="E12" s="40">
        <v>20</v>
      </c>
      <c r="F12" s="40">
        <v>95590</v>
      </c>
      <c r="G12" s="40" t="s">
        <v>98</v>
      </c>
      <c r="H12" s="40">
        <v>442</v>
      </c>
      <c r="I12" s="40">
        <v>107889</v>
      </c>
      <c r="J12" s="40">
        <v>24505744</v>
      </c>
      <c r="K12" s="40"/>
      <c r="L12" s="41"/>
    </row>
    <row r="13" spans="1:12" ht="14.25" customHeight="1" x14ac:dyDescent="0.3">
      <c r="A13" s="40">
        <v>11</v>
      </c>
      <c r="B13" s="40" t="s">
        <v>87</v>
      </c>
      <c r="C13" s="40" t="s">
        <v>23</v>
      </c>
      <c r="D13" s="40">
        <v>96</v>
      </c>
      <c r="E13" s="40">
        <v>22</v>
      </c>
      <c r="F13" s="40">
        <v>95592</v>
      </c>
      <c r="G13" s="40" t="s">
        <v>99</v>
      </c>
      <c r="H13" s="40">
        <v>442</v>
      </c>
      <c r="I13" s="40">
        <v>107890</v>
      </c>
      <c r="J13" s="40">
        <v>24505751</v>
      </c>
      <c r="K13" s="40"/>
      <c r="L13" s="41"/>
    </row>
    <row r="14" spans="1:12" ht="14.25" customHeight="1" x14ac:dyDescent="0.3">
      <c r="A14" s="40">
        <v>12</v>
      </c>
      <c r="B14" s="40" t="s">
        <v>87</v>
      </c>
      <c r="C14" s="40" t="s">
        <v>23</v>
      </c>
      <c r="D14" s="40">
        <v>96</v>
      </c>
      <c r="E14" s="40">
        <v>23</v>
      </c>
      <c r="F14" s="40">
        <v>95593</v>
      </c>
      <c r="G14" s="40" t="s">
        <v>100</v>
      </c>
      <c r="H14" s="40">
        <v>442</v>
      </c>
      <c r="I14" s="40">
        <v>74403</v>
      </c>
      <c r="J14" s="40">
        <v>24505752</v>
      </c>
      <c r="K14" s="40"/>
      <c r="L14" s="41"/>
    </row>
    <row r="15" spans="1:12" ht="14.25" customHeight="1" x14ac:dyDescent="0.3">
      <c r="A15" s="40">
        <v>13</v>
      </c>
      <c r="B15" s="40" t="s">
        <v>87</v>
      </c>
      <c r="C15" s="40" t="s">
        <v>23</v>
      </c>
      <c r="D15" s="40">
        <v>96</v>
      </c>
      <c r="E15" s="40">
        <v>24</v>
      </c>
      <c r="F15" s="40">
        <v>95594</v>
      </c>
      <c r="G15" s="40" t="s">
        <v>101</v>
      </c>
      <c r="H15" s="40">
        <v>442</v>
      </c>
      <c r="I15" s="40">
        <v>107891</v>
      </c>
      <c r="J15" s="40">
        <v>24505819</v>
      </c>
      <c r="K15" s="40"/>
      <c r="L15" s="41"/>
    </row>
    <row r="16" spans="1:12" ht="14.25" customHeight="1" x14ac:dyDescent="0.3">
      <c r="A16" s="40">
        <v>14</v>
      </c>
      <c r="B16" s="40" t="s">
        <v>87</v>
      </c>
      <c r="C16" s="40" t="s">
        <v>23</v>
      </c>
      <c r="D16" s="40">
        <v>96</v>
      </c>
      <c r="E16" s="40">
        <v>26</v>
      </c>
      <c r="F16" s="40">
        <v>95596</v>
      </c>
      <c r="G16" s="40" t="s">
        <v>102</v>
      </c>
      <c r="H16" s="40">
        <v>442</v>
      </c>
      <c r="I16" s="40">
        <v>74404</v>
      </c>
      <c r="J16" s="40">
        <v>24505822</v>
      </c>
      <c r="K16" s="40"/>
      <c r="L16" s="41"/>
    </row>
    <row r="17" spans="1:12" ht="14.25" customHeight="1" x14ac:dyDescent="0.3">
      <c r="A17" s="40">
        <v>15</v>
      </c>
      <c r="B17" s="40" t="s">
        <v>87</v>
      </c>
      <c r="C17" s="40" t="s">
        <v>23</v>
      </c>
      <c r="D17" s="40">
        <v>96</v>
      </c>
      <c r="E17" s="40">
        <v>27</v>
      </c>
      <c r="F17" s="40">
        <v>95597</v>
      </c>
      <c r="G17" s="40" t="s">
        <v>103</v>
      </c>
      <c r="H17" s="40">
        <v>442</v>
      </c>
      <c r="I17" s="40">
        <v>74405</v>
      </c>
      <c r="J17" s="40">
        <v>24505823</v>
      </c>
      <c r="K17" s="40"/>
      <c r="L17" s="41"/>
    </row>
    <row r="18" spans="1:12" ht="14.25" customHeight="1" x14ac:dyDescent="0.3">
      <c r="A18" s="40">
        <v>16</v>
      </c>
      <c r="B18" s="40" t="s">
        <v>87</v>
      </c>
      <c r="C18" s="40" t="s">
        <v>23</v>
      </c>
      <c r="D18" s="40">
        <v>96</v>
      </c>
      <c r="E18" s="40">
        <v>28</v>
      </c>
      <c r="F18" s="40">
        <v>95598</v>
      </c>
      <c r="G18" s="40" t="s">
        <v>103</v>
      </c>
      <c r="H18" s="40">
        <v>442</v>
      </c>
      <c r="I18" s="40">
        <v>74406</v>
      </c>
      <c r="J18" s="40">
        <v>24505826</v>
      </c>
      <c r="K18" s="40"/>
      <c r="L18" s="41"/>
    </row>
    <row r="19" spans="1:12" ht="14.25" customHeight="1" x14ac:dyDescent="0.3">
      <c r="A19" s="42">
        <v>17</v>
      </c>
      <c r="B19" s="42" t="s">
        <v>87</v>
      </c>
      <c r="C19" s="42" t="s">
        <v>23</v>
      </c>
      <c r="D19" s="42">
        <v>124</v>
      </c>
      <c r="E19" s="42">
        <v>6</v>
      </c>
      <c r="F19" s="42">
        <v>96225</v>
      </c>
      <c r="G19" s="42" t="s">
        <v>104</v>
      </c>
      <c r="H19" s="42">
        <v>442</v>
      </c>
      <c r="I19" s="42">
        <v>107876</v>
      </c>
      <c r="J19" s="42">
        <v>24505837</v>
      </c>
      <c r="K19" s="42" t="s">
        <v>105</v>
      </c>
      <c r="L19" s="43"/>
    </row>
    <row r="20" spans="1:12" ht="14.25" customHeight="1" x14ac:dyDescent="0.3">
      <c r="A20" s="42">
        <v>18</v>
      </c>
      <c r="B20" s="42" t="s">
        <v>87</v>
      </c>
      <c r="C20" s="42" t="s">
        <v>23</v>
      </c>
      <c r="D20" s="42">
        <v>124</v>
      </c>
      <c r="E20" s="42">
        <v>7</v>
      </c>
      <c r="F20" s="42">
        <v>96226</v>
      </c>
      <c r="G20" s="42" t="s">
        <v>106</v>
      </c>
      <c r="H20" s="42">
        <v>442</v>
      </c>
      <c r="I20" s="42">
        <v>107892</v>
      </c>
      <c r="J20" s="42">
        <v>24505840</v>
      </c>
      <c r="K20" s="42"/>
      <c r="L20" s="43"/>
    </row>
    <row r="21" spans="1:12" ht="14.25" customHeight="1" x14ac:dyDescent="0.3">
      <c r="A21" s="42">
        <v>19</v>
      </c>
      <c r="B21" s="42" t="s">
        <v>87</v>
      </c>
      <c r="C21" s="42" t="s">
        <v>23</v>
      </c>
      <c r="D21" s="42">
        <v>124</v>
      </c>
      <c r="E21" s="42">
        <v>9</v>
      </c>
      <c r="F21" s="42">
        <v>96228</v>
      </c>
      <c r="G21" s="42" t="s">
        <v>107</v>
      </c>
      <c r="H21" s="42">
        <v>442</v>
      </c>
      <c r="I21" s="42">
        <v>107893</v>
      </c>
      <c r="J21" s="42">
        <v>24505872</v>
      </c>
      <c r="K21" s="42"/>
      <c r="L21" s="43"/>
    </row>
    <row r="22" spans="1:12" ht="14.25" customHeight="1" x14ac:dyDescent="0.3">
      <c r="A22" s="42">
        <v>20</v>
      </c>
      <c r="B22" s="42" t="s">
        <v>87</v>
      </c>
      <c r="C22" s="42" t="s">
        <v>23</v>
      </c>
      <c r="D22" s="42">
        <v>124</v>
      </c>
      <c r="E22" s="42">
        <v>10</v>
      </c>
      <c r="F22" s="42">
        <v>96229</v>
      </c>
      <c r="G22" s="42" t="s">
        <v>108</v>
      </c>
      <c r="H22" s="42">
        <v>442</v>
      </c>
      <c r="I22" s="42">
        <v>107894</v>
      </c>
      <c r="J22" s="42">
        <v>24505919</v>
      </c>
      <c r="K22" s="42"/>
      <c r="L22" s="43"/>
    </row>
    <row r="23" spans="1:12" ht="14.25" customHeight="1" x14ac:dyDescent="0.3">
      <c r="A23" s="42">
        <v>21</v>
      </c>
      <c r="B23" s="42" t="s">
        <v>87</v>
      </c>
      <c r="C23" s="42" t="s">
        <v>23</v>
      </c>
      <c r="D23" s="42">
        <v>124</v>
      </c>
      <c r="E23" s="42">
        <v>11</v>
      </c>
      <c r="F23" s="42">
        <v>96230</v>
      </c>
      <c r="G23" s="42" t="s">
        <v>109</v>
      </c>
      <c r="H23" s="42">
        <v>442</v>
      </c>
      <c r="I23" s="42">
        <v>107895</v>
      </c>
      <c r="J23" s="42">
        <v>24505923</v>
      </c>
      <c r="K23" s="42"/>
      <c r="L23" s="43"/>
    </row>
    <row r="24" spans="1:12" ht="14.25" customHeight="1" x14ac:dyDescent="0.3">
      <c r="A24" s="42">
        <v>22</v>
      </c>
      <c r="B24" s="42" t="s">
        <v>87</v>
      </c>
      <c r="C24" s="42" t="s">
        <v>23</v>
      </c>
      <c r="D24" s="42">
        <v>124</v>
      </c>
      <c r="E24" s="42">
        <v>12</v>
      </c>
      <c r="F24" s="42">
        <v>96231</v>
      </c>
      <c r="G24" s="42" t="s">
        <v>110</v>
      </c>
      <c r="H24" s="42">
        <v>442</v>
      </c>
      <c r="I24" s="42">
        <v>107896</v>
      </c>
      <c r="J24" s="42">
        <v>24505933</v>
      </c>
      <c r="K24" s="42"/>
      <c r="L24" s="43"/>
    </row>
    <row r="25" spans="1:12" ht="14.25" customHeight="1" x14ac:dyDescent="0.3">
      <c r="A25" s="42">
        <v>23</v>
      </c>
      <c r="B25" s="42" t="s">
        <v>87</v>
      </c>
      <c r="C25" s="42" t="s">
        <v>23</v>
      </c>
      <c r="D25" s="42">
        <v>124</v>
      </c>
      <c r="E25" s="42">
        <v>13</v>
      </c>
      <c r="F25" s="42">
        <v>96232</v>
      </c>
      <c r="G25" s="42" t="s">
        <v>111</v>
      </c>
      <c r="H25" s="42">
        <v>442</v>
      </c>
      <c r="I25" s="42">
        <v>107897</v>
      </c>
      <c r="J25" s="42">
        <v>24505943</v>
      </c>
      <c r="K25" s="42"/>
      <c r="L25" s="43"/>
    </row>
    <row r="26" spans="1:12" ht="14.25" customHeight="1" x14ac:dyDescent="0.3">
      <c r="A26" s="42">
        <v>24</v>
      </c>
      <c r="B26" s="42" t="s">
        <v>87</v>
      </c>
      <c r="C26" s="42" t="s">
        <v>23</v>
      </c>
      <c r="D26" s="42">
        <v>124</v>
      </c>
      <c r="E26" s="42">
        <v>14</v>
      </c>
      <c r="F26" s="42">
        <v>96233</v>
      </c>
      <c r="G26" s="42" t="s">
        <v>112</v>
      </c>
      <c r="H26" s="42">
        <v>442</v>
      </c>
      <c r="I26" s="42">
        <v>107898</v>
      </c>
      <c r="J26" s="42">
        <v>24505947</v>
      </c>
      <c r="K26" s="42"/>
      <c r="L26" s="43"/>
    </row>
    <row r="27" spans="1:12" ht="14.25" customHeight="1" x14ac:dyDescent="0.3">
      <c r="A27" s="42">
        <v>25</v>
      </c>
      <c r="B27" s="42" t="s">
        <v>87</v>
      </c>
      <c r="C27" s="42" t="s">
        <v>23</v>
      </c>
      <c r="D27" s="42">
        <v>124</v>
      </c>
      <c r="E27" s="42">
        <v>15</v>
      </c>
      <c r="F27" s="42">
        <v>96234</v>
      </c>
      <c r="G27" s="42" t="s">
        <v>113</v>
      </c>
      <c r="H27" s="42">
        <v>442</v>
      </c>
      <c r="I27" s="42">
        <v>107899</v>
      </c>
      <c r="J27" s="42">
        <v>24505959</v>
      </c>
      <c r="K27" s="42"/>
      <c r="L27" s="43"/>
    </row>
    <row r="28" spans="1:12" ht="14.25" customHeight="1" x14ac:dyDescent="0.3">
      <c r="A28" s="42">
        <v>26</v>
      </c>
      <c r="B28" s="42" t="s">
        <v>87</v>
      </c>
      <c r="C28" s="42" t="s">
        <v>23</v>
      </c>
      <c r="D28" s="42">
        <v>124</v>
      </c>
      <c r="E28" s="42" t="s">
        <v>114</v>
      </c>
      <c r="F28" s="42">
        <v>96235</v>
      </c>
      <c r="G28" s="42" t="s">
        <v>115</v>
      </c>
      <c r="H28" s="42">
        <v>442</v>
      </c>
      <c r="I28" s="42">
        <v>107900</v>
      </c>
      <c r="J28" s="42">
        <v>24505985</v>
      </c>
      <c r="K28" s="42"/>
      <c r="L28" s="43"/>
    </row>
    <row r="29" spans="1:12" ht="14.25" customHeight="1" x14ac:dyDescent="0.3">
      <c r="A29" s="42">
        <v>27</v>
      </c>
      <c r="B29" s="42" t="s">
        <v>87</v>
      </c>
      <c r="C29" s="42" t="s">
        <v>23</v>
      </c>
      <c r="D29" s="42">
        <v>124</v>
      </c>
      <c r="E29" s="42" t="s">
        <v>116</v>
      </c>
      <c r="F29" s="42">
        <v>96236</v>
      </c>
      <c r="G29" s="42" t="s">
        <v>117</v>
      </c>
      <c r="H29" s="42">
        <v>442</v>
      </c>
      <c r="I29" s="42">
        <v>107901</v>
      </c>
      <c r="J29" s="42">
        <v>24505998</v>
      </c>
      <c r="K29" s="42"/>
      <c r="L29" s="43"/>
    </row>
    <row r="30" spans="1:12" ht="14.25" customHeight="1" x14ac:dyDescent="0.3">
      <c r="A30" s="42">
        <v>28</v>
      </c>
      <c r="B30" s="42" t="s">
        <v>87</v>
      </c>
      <c r="C30" s="42" t="s">
        <v>23</v>
      </c>
      <c r="D30" s="42">
        <v>124</v>
      </c>
      <c r="E30" s="42" t="s">
        <v>118</v>
      </c>
      <c r="F30" s="42">
        <v>96237</v>
      </c>
      <c r="G30" s="42" t="s">
        <v>119</v>
      </c>
      <c r="H30" s="42">
        <v>442</v>
      </c>
      <c r="I30" s="42">
        <v>107903</v>
      </c>
      <c r="J30" s="42">
        <v>24506003</v>
      </c>
      <c r="K30" s="42"/>
      <c r="L30" s="43"/>
    </row>
    <row r="31" spans="1:12" ht="14.25" customHeight="1" x14ac:dyDescent="0.3">
      <c r="A31" s="42">
        <v>29</v>
      </c>
      <c r="B31" s="42" t="s">
        <v>87</v>
      </c>
      <c r="C31" s="42" t="s">
        <v>23</v>
      </c>
      <c r="D31" s="42">
        <v>124</v>
      </c>
      <c r="E31" s="42" t="s">
        <v>120</v>
      </c>
      <c r="F31" s="42">
        <v>96238</v>
      </c>
      <c r="G31" s="42" t="s">
        <v>121</v>
      </c>
      <c r="H31" s="42">
        <v>442</v>
      </c>
      <c r="I31" s="42">
        <v>107904</v>
      </c>
      <c r="J31" s="42">
        <v>24506007</v>
      </c>
      <c r="K31" s="42"/>
      <c r="L31" s="43"/>
    </row>
    <row r="32" spans="1:12" ht="14.25" customHeight="1" x14ac:dyDescent="0.3">
      <c r="A32" s="42">
        <v>30</v>
      </c>
      <c r="B32" s="42" t="s">
        <v>87</v>
      </c>
      <c r="C32" s="42" t="s">
        <v>23</v>
      </c>
      <c r="D32" s="42">
        <v>124</v>
      </c>
      <c r="E32" s="42" t="s">
        <v>122</v>
      </c>
      <c r="F32" s="42">
        <v>96238</v>
      </c>
      <c r="G32" s="42" t="s">
        <v>123</v>
      </c>
      <c r="H32" s="42">
        <v>442</v>
      </c>
      <c r="I32" s="42">
        <v>107905</v>
      </c>
      <c r="J32" s="42">
        <v>24506053</v>
      </c>
      <c r="K32" s="42"/>
      <c r="L32" s="43"/>
    </row>
    <row r="33" spans="1:12" ht="14.25" customHeight="1" x14ac:dyDescent="0.3">
      <c r="A33" s="42">
        <v>31</v>
      </c>
      <c r="B33" s="42" t="s">
        <v>87</v>
      </c>
      <c r="C33" s="42" t="s">
        <v>23</v>
      </c>
      <c r="D33" s="42">
        <v>124</v>
      </c>
      <c r="E33" s="42" t="s">
        <v>124</v>
      </c>
      <c r="F33" s="42">
        <v>96240</v>
      </c>
      <c r="G33" s="42" t="s">
        <v>125</v>
      </c>
      <c r="H33" s="42">
        <v>442</v>
      </c>
      <c r="I33" s="42">
        <v>107906</v>
      </c>
      <c r="J33" s="42">
        <v>24506058</v>
      </c>
      <c r="K33" s="42"/>
      <c r="L33" s="43"/>
    </row>
    <row r="34" spans="1:12" ht="14.25" customHeight="1" x14ac:dyDescent="0.3">
      <c r="A34" s="42">
        <v>32</v>
      </c>
      <c r="B34" s="42" t="s">
        <v>87</v>
      </c>
      <c r="C34" s="42" t="s">
        <v>23</v>
      </c>
      <c r="D34" s="42">
        <v>124</v>
      </c>
      <c r="E34" s="42" t="s">
        <v>126</v>
      </c>
      <c r="F34" s="42">
        <v>96241</v>
      </c>
      <c r="G34" s="42" t="s">
        <v>127</v>
      </c>
      <c r="H34" s="42">
        <v>442</v>
      </c>
      <c r="I34" s="42">
        <v>107907</v>
      </c>
      <c r="J34" s="42">
        <v>24506061</v>
      </c>
      <c r="K34" s="42"/>
      <c r="L34" s="43"/>
    </row>
    <row r="35" spans="1:12" ht="14.25" customHeight="1" x14ac:dyDescent="0.3">
      <c r="A35" s="42">
        <v>33</v>
      </c>
      <c r="B35" s="42" t="s">
        <v>87</v>
      </c>
      <c r="C35" s="42" t="s">
        <v>23</v>
      </c>
      <c r="D35" s="42">
        <v>124</v>
      </c>
      <c r="E35" s="42" t="s">
        <v>128</v>
      </c>
      <c r="F35" s="42">
        <v>96242</v>
      </c>
      <c r="G35" s="42" t="s">
        <v>129</v>
      </c>
      <c r="H35" s="42">
        <v>442</v>
      </c>
      <c r="I35" s="42">
        <v>107908</v>
      </c>
      <c r="J35" s="42">
        <v>24506066</v>
      </c>
      <c r="K35" s="42"/>
      <c r="L35" s="43"/>
    </row>
    <row r="36" spans="1:12" ht="14.25" customHeight="1" x14ac:dyDescent="0.3">
      <c r="A36" s="42">
        <v>34</v>
      </c>
      <c r="B36" s="42" t="s">
        <v>87</v>
      </c>
      <c r="C36" s="42" t="s">
        <v>23</v>
      </c>
      <c r="D36" s="42">
        <v>124</v>
      </c>
      <c r="E36" s="42">
        <v>24</v>
      </c>
      <c r="F36" s="42">
        <v>96243</v>
      </c>
      <c r="G36" s="42" t="s">
        <v>130</v>
      </c>
      <c r="H36" s="42">
        <v>442</v>
      </c>
      <c r="I36" s="42">
        <v>107910</v>
      </c>
      <c r="J36" s="42">
        <v>24506071</v>
      </c>
      <c r="K36" s="42"/>
      <c r="L36" s="43"/>
    </row>
    <row r="37" spans="1:12" ht="14.25" customHeight="1" x14ac:dyDescent="0.3">
      <c r="A37" s="42">
        <v>35</v>
      </c>
      <c r="B37" s="42" t="s">
        <v>87</v>
      </c>
      <c r="C37" s="42" t="s">
        <v>23</v>
      </c>
      <c r="D37" s="42">
        <v>124</v>
      </c>
      <c r="E37" s="42">
        <v>25</v>
      </c>
      <c r="F37" s="42">
        <v>96244</v>
      </c>
      <c r="G37" s="42" t="s">
        <v>131</v>
      </c>
      <c r="H37" s="42">
        <v>442</v>
      </c>
      <c r="I37" s="42">
        <v>107911</v>
      </c>
      <c r="J37" s="42">
        <v>24506076</v>
      </c>
      <c r="K37" s="42"/>
      <c r="L37" s="43"/>
    </row>
    <row r="38" spans="1:12" ht="14.25" customHeight="1" x14ac:dyDescent="0.3">
      <c r="A38" s="42">
        <v>36</v>
      </c>
      <c r="B38" s="42" t="s">
        <v>87</v>
      </c>
      <c r="C38" s="42" t="s">
        <v>23</v>
      </c>
      <c r="D38" s="42">
        <v>124</v>
      </c>
      <c r="E38" s="42">
        <v>27</v>
      </c>
      <c r="F38" s="42">
        <v>96246</v>
      </c>
      <c r="G38" s="42" t="s">
        <v>132</v>
      </c>
      <c r="H38" s="42">
        <v>442</v>
      </c>
      <c r="I38" s="42">
        <v>107912</v>
      </c>
      <c r="J38" s="42">
        <v>24506086</v>
      </c>
      <c r="K38" s="42"/>
      <c r="L38" s="43"/>
    </row>
    <row r="39" spans="1:12" ht="14.25" customHeight="1" x14ac:dyDescent="0.3">
      <c r="A39" s="42">
        <v>37</v>
      </c>
      <c r="B39" s="42" t="s">
        <v>87</v>
      </c>
      <c r="C39" s="42" t="s">
        <v>23</v>
      </c>
      <c r="D39" s="42">
        <v>124</v>
      </c>
      <c r="E39" s="42">
        <v>28</v>
      </c>
      <c r="F39" s="42">
        <v>96247</v>
      </c>
      <c r="G39" s="42" t="s">
        <v>133</v>
      </c>
      <c r="H39" s="42">
        <v>442</v>
      </c>
      <c r="I39" s="42">
        <v>107914</v>
      </c>
      <c r="J39" s="42">
        <v>24506107</v>
      </c>
      <c r="K39" s="42"/>
      <c r="L39" s="43"/>
    </row>
    <row r="40" spans="1:12" ht="14.25" customHeight="1" x14ac:dyDescent="0.3">
      <c r="A40" s="42">
        <v>38</v>
      </c>
      <c r="B40" s="42" t="s">
        <v>87</v>
      </c>
      <c r="C40" s="42" t="s">
        <v>23</v>
      </c>
      <c r="D40" s="42">
        <v>124</v>
      </c>
      <c r="E40" s="42">
        <v>29</v>
      </c>
      <c r="F40" s="42">
        <v>96248</v>
      </c>
      <c r="G40" s="42" t="s">
        <v>134</v>
      </c>
      <c r="H40" s="42">
        <v>442</v>
      </c>
      <c r="I40" s="42">
        <v>107915</v>
      </c>
      <c r="J40" s="42">
        <v>24506173</v>
      </c>
      <c r="K40" s="42"/>
      <c r="L40" s="43"/>
    </row>
    <row r="41" spans="1:12" ht="14.25" customHeight="1" x14ac:dyDescent="0.3">
      <c r="A41" s="42">
        <v>39</v>
      </c>
      <c r="B41" s="42" t="s">
        <v>87</v>
      </c>
      <c r="C41" s="42" t="s">
        <v>23</v>
      </c>
      <c r="D41" s="42">
        <v>124</v>
      </c>
      <c r="E41" s="42">
        <v>30</v>
      </c>
      <c r="F41" s="42">
        <v>96249</v>
      </c>
      <c r="G41" s="42" t="s">
        <v>135</v>
      </c>
      <c r="H41" s="42">
        <v>442</v>
      </c>
      <c r="I41" s="42">
        <v>107916</v>
      </c>
      <c r="J41" s="42">
        <v>24506186</v>
      </c>
      <c r="K41" s="42"/>
      <c r="L41" s="43"/>
    </row>
    <row r="42" spans="1:12" ht="14.25" customHeight="1" x14ac:dyDescent="0.3">
      <c r="A42" s="44">
        <v>40</v>
      </c>
      <c r="B42" s="44" t="s">
        <v>87</v>
      </c>
      <c r="C42" s="44" t="s">
        <v>23</v>
      </c>
      <c r="D42" s="44">
        <v>125</v>
      </c>
      <c r="E42" s="44">
        <v>1</v>
      </c>
      <c r="F42" s="44">
        <v>67428</v>
      </c>
      <c r="G42" s="44">
        <v>6678</v>
      </c>
      <c r="H42" s="44">
        <v>442</v>
      </c>
      <c r="I42" s="44">
        <v>107917</v>
      </c>
      <c r="J42" s="44">
        <v>24506277</v>
      </c>
      <c r="K42" s="44" t="s">
        <v>136</v>
      </c>
      <c r="L42" s="45"/>
    </row>
    <row r="43" spans="1:12" ht="14.25" customHeight="1" x14ac:dyDescent="0.3">
      <c r="A43" s="44">
        <v>41</v>
      </c>
      <c r="B43" s="44" t="s">
        <v>87</v>
      </c>
      <c r="C43" s="44" t="s">
        <v>23</v>
      </c>
      <c r="D43" s="44">
        <v>125</v>
      </c>
      <c r="E43" s="44">
        <v>2</v>
      </c>
      <c r="F43" s="44">
        <v>124604</v>
      </c>
      <c r="G43" s="44" t="s">
        <v>137</v>
      </c>
      <c r="H43" s="44">
        <v>442</v>
      </c>
      <c r="I43" s="44">
        <v>107919</v>
      </c>
      <c r="J43" s="44">
        <v>24506286</v>
      </c>
      <c r="K43" s="44"/>
      <c r="L43" s="45"/>
    </row>
    <row r="44" spans="1:12" ht="14.25" customHeight="1" x14ac:dyDescent="0.3">
      <c r="A44" s="44">
        <v>42</v>
      </c>
      <c r="B44" s="44" t="s">
        <v>87</v>
      </c>
      <c r="C44" s="44" t="s">
        <v>23</v>
      </c>
      <c r="D44" s="44">
        <v>125</v>
      </c>
      <c r="E44" s="44">
        <v>3</v>
      </c>
      <c r="F44" s="44">
        <v>124605</v>
      </c>
      <c r="G44" s="44" t="s">
        <v>138</v>
      </c>
      <c r="H44" s="44">
        <v>442</v>
      </c>
      <c r="I44" s="44">
        <v>107920</v>
      </c>
      <c r="J44" s="44">
        <v>24506295</v>
      </c>
      <c r="K44" s="44"/>
      <c r="L44" s="45"/>
    </row>
    <row r="45" spans="1:12" ht="14.25" customHeight="1" x14ac:dyDescent="0.3">
      <c r="A45" s="44">
        <v>43</v>
      </c>
      <c r="B45" s="44" t="s">
        <v>87</v>
      </c>
      <c r="C45" s="44" t="s">
        <v>23</v>
      </c>
      <c r="D45" s="44">
        <v>125</v>
      </c>
      <c r="E45" s="44">
        <v>4</v>
      </c>
      <c r="F45" s="44">
        <v>124606</v>
      </c>
      <c r="G45" s="44" t="s">
        <v>139</v>
      </c>
      <c r="H45" s="44">
        <v>442</v>
      </c>
      <c r="I45" s="44">
        <v>107921</v>
      </c>
      <c r="J45" s="44">
        <v>24506310</v>
      </c>
      <c r="K45" s="44"/>
      <c r="L45" s="45"/>
    </row>
    <row r="46" spans="1:12" ht="14.25" customHeight="1" x14ac:dyDescent="0.3">
      <c r="A46" s="44">
        <v>44</v>
      </c>
      <c r="B46" s="44" t="s">
        <v>87</v>
      </c>
      <c r="C46" s="44" t="s">
        <v>23</v>
      </c>
      <c r="D46" s="44">
        <v>125</v>
      </c>
      <c r="E46" s="44">
        <v>5</v>
      </c>
      <c r="F46" s="44">
        <v>124607</v>
      </c>
      <c r="G46" s="44" t="s">
        <v>140</v>
      </c>
      <c r="H46" s="44">
        <v>442</v>
      </c>
      <c r="I46" s="44">
        <v>107923</v>
      </c>
      <c r="J46" s="44">
        <v>24506318</v>
      </c>
      <c r="K46" s="44"/>
      <c r="L46" s="45"/>
    </row>
    <row r="47" spans="1:12" ht="14.25" customHeight="1" x14ac:dyDescent="0.3">
      <c r="A47" s="44">
        <v>45</v>
      </c>
      <c r="B47" s="44" t="s">
        <v>87</v>
      </c>
      <c r="C47" s="44" t="s">
        <v>23</v>
      </c>
      <c r="D47" s="44">
        <v>125</v>
      </c>
      <c r="E47" s="44">
        <v>6</v>
      </c>
      <c r="F47" s="44">
        <v>124608</v>
      </c>
      <c r="G47" s="44" t="s">
        <v>141</v>
      </c>
      <c r="H47" s="44">
        <v>442</v>
      </c>
      <c r="I47" s="44">
        <v>107924</v>
      </c>
      <c r="J47" s="44">
        <v>24506325</v>
      </c>
      <c r="K47" s="44"/>
      <c r="L47" s="45"/>
    </row>
    <row r="48" spans="1:12" ht="14.25" customHeight="1" x14ac:dyDescent="0.3">
      <c r="A48" s="44">
        <v>46</v>
      </c>
      <c r="B48" s="44" t="s">
        <v>87</v>
      </c>
      <c r="C48" s="44" t="s">
        <v>23</v>
      </c>
      <c r="D48" s="44">
        <v>125</v>
      </c>
      <c r="E48" s="44">
        <v>7</v>
      </c>
      <c r="F48" s="44">
        <v>124609</v>
      </c>
      <c r="G48" s="44" t="s">
        <v>142</v>
      </c>
      <c r="H48" s="44">
        <v>442</v>
      </c>
      <c r="I48" s="44">
        <v>107925</v>
      </c>
      <c r="J48" s="44">
        <v>24506331</v>
      </c>
      <c r="K48" s="44"/>
      <c r="L48" s="45"/>
    </row>
    <row r="49" spans="1:12" ht="14.25" customHeight="1" x14ac:dyDescent="0.3">
      <c r="A49" s="44">
        <v>47</v>
      </c>
      <c r="B49" s="44" t="s">
        <v>87</v>
      </c>
      <c r="C49" s="44" t="s">
        <v>23</v>
      </c>
      <c r="D49" s="44">
        <v>125</v>
      </c>
      <c r="E49" s="44">
        <v>8</v>
      </c>
      <c r="F49" s="44">
        <v>124610</v>
      </c>
      <c r="G49" s="44" t="s">
        <v>143</v>
      </c>
      <c r="H49" s="44">
        <v>442</v>
      </c>
      <c r="I49" s="44">
        <v>107926</v>
      </c>
      <c r="J49" s="44">
        <v>24506342</v>
      </c>
      <c r="K49" s="44"/>
      <c r="L49" s="45"/>
    </row>
    <row r="50" spans="1:12" ht="14.25" customHeight="1" x14ac:dyDescent="0.3">
      <c r="A50" s="44">
        <v>48</v>
      </c>
      <c r="B50" s="44" t="s">
        <v>87</v>
      </c>
      <c r="C50" s="44" t="s">
        <v>23</v>
      </c>
      <c r="D50" s="44">
        <v>125</v>
      </c>
      <c r="E50" s="44">
        <v>9</v>
      </c>
      <c r="F50" s="44">
        <v>124611</v>
      </c>
      <c r="G50" s="44" t="s">
        <v>144</v>
      </c>
      <c r="H50" s="44">
        <v>442</v>
      </c>
      <c r="I50" s="44">
        <v>108011</v>
      </c>
      <c r="J50" s="44">
        <v>24506345</v>
      </c>
      <c r="K50" s="44"/>
      <c r="L50" s="45"/>
    </row>
    <row r="51" spans="1:12" ht="14.25" customHeight="1" x14ac:dyDescent="0.3">
      <c r="A51" s="44">
        <v>49</v>
      </c>
      <c r="B51" s="44" t="s">
        <v>87</v>
      </c>
      <c r="C51" s="44" t="s">
        <v>23</v>
      </c>
      <c r="D51" s="44">
        <v>125</v>
      </c>
      <c r="E51" s="44">
        <v>10</v>
      </c>
      <c r="F51" s="44">
        <v>124612</v>
      </c>
      <c r="G51" s="44" t="s">
        <v>145</v>
      </c>
      <c r="H51" s="44">
        <v>442</v>
      </c>
      <c r="I51" s="44">
        <v>108012</v>
      </c>
      <c r="J51" s="44">
        <v>24506426</v>
      </c>
      <c r="K51" s="44"/>
      <c r="L51" s="45"/>
    </row>
    <row r="52" spans="1:12" ht="14.25" customHeight="1" x14ac:dyDescent="0.3">
      <c r="A52" s="44">
        <v>50</v>
      </c>
      <c r="B52" s="44" t="s">
        <v>87</v>
      </c>
      <c r="C52" s="44" t="s">
        <v>23</v>
      </c>
      <c r="D52" s="44">
        <v>125</v>
      </c>
      <c r="E52" s="44">
        <v>11</v>
      </c>
      <c r="F52" s="44">
        <v>124613</v>
      </c>
      <c r="G52" s="44" t="s">
        <v>146</v>
      </c>
      <c r="H52" s="44">
        <v>442</v>
      </c>
      <c r="I52" s="44">
        <v>107927</v>
      </c>
      <c r="J52" s="44">
        <v>24506430</v>
      </c>
      <c r="K52" s="44"/>
      <c r="L52" s="45"/>
    </row>
    <row r="53" spans="1:12" ht="14.25" customHeight="1" x14ac:dyDescent="0.3">
      <c r="A53" s="44">
        <v>51</v>
      </c>
      <c r="B53" s="44" t="s">
        <v>87</v>
      </c>
      <c r="C53" s="44" t="s">
        <v>23</v>
      </c>
      <c r="D53" s="44">
        <v>125</v>
      </c>
      <c r="E53" s="44">
        <v>12</v>
      </c>
      <c r="F53" s="44">
        <v>124614</v>
      </c>
      <c r="G53" s="44" t="s">
        <v>147</v>
      </c>
      <c r="H53" s="44">
        <v>442</v>
      </c>
      <c r="I53" s="44">
        <v>107928</v>
      </c>
      <c r="J53" s="44">
        <v>24506435</v>
      </c>
      <c r="K53" s="44"/>
      <c r="L53" s="45"/>
    </row>
    <row r="54" spans="1:12" ht="14.25" customHeight="1" x14ac:dyDescent="0.3">
      <c r="A54" s="44">
        <v>52</v>
      </c>
      <c r="B54" s="44" t="s">
        <v>87</v>
      </c>
      <c r="C54" s="44" t="s">
        <v>23</v>
      </c>
      <c r="D54" s="44">
        <v>125</v>
      </c>
      <c r="E54" s="44">
        <v>13</v>
      </c>
      <c r="F54" s="44">
        <v>124615</v>
      </c>
      <c r="G54" s="44" t="s">
        <v>148</v>
      </c>
      <c r="H54" s="44">
        <v>442</v>
      </c>
      <c r="I54" s="44">
        <v>107929</v>
      </c>
      <c r="J54" s="44">
        <v>24506441</v>
      </c>
      <c r="K54" s="44"/>
      <c r="L54" s="45"/>
    </row>
    <row r="55" spans="1:12" ht="14.25" customHeight="1" x14ac:dyDescent="0.3">
      <c r="A55" s="44">
        <v>53</v>
      </c>
      <c r="B55" s="44" t="s">
        <v>87</v>
      </c>
      <c r="C55" s="44" t="s">
        <v>23</v>
      </c>
      <c r="D55" s="44">
        <v>125</v>
      </c>
      <c r="E55" s="44">
        <v>14</v>
      </c>
      <c r="F55" s="44">
        <v>124616</v>
      </c>
      <c r="G55" s="44" t="s">
        <v>149</v>
      </c>
      <c r="H55" s="44">
        <v>442</v>
      </c>
      <c r="I55" s="44">
        <v>107930</v>
      </c>
      <c r="J55" s="44">
        <v>24506444</v>
      </c>
      <c r="K55" s="44"/>
      <c r="L55" s="45"/>
    </row>
    <row r="56" spans="1:12" ht="14.25" customHeight="1" x14ac:dyDescent="0.3">
      <c r="A56" s="44">
        <v>54</v>
      </c>
      <c r="B56" s="44" t="s">
        <v>87</v>
      </c>
      <c r="C56" s="44" t="s">
        <v>23</v>
      </c>
      <c r="D56" s="44">
        <v>125</v>
      </c>
      <c r="E56" s="44" t="s">
        <v>150</v>
      </c>
      <c r="F56" s="44">
        <v>124617</v>
      </c>
      <c r="G56" s="44" t="s">
        <v>151</v>
      </c>
      <c r="H56" s="44">
        <v>442</v>
      </c>
      <c r="I56" s="44">
        <v>74974</v>
      </c>
      <c r="J56" s="44">
        <v>24506450</v>
      </c>
      <c r="K56" s="44"/>
      <c r="L56" s="45" t="s">
        <v>152</v>
      </c>
    </row>
    <row r="57" spans="1:12" ht="14.25" customHeight="1" x14ac:dyDescent="0.3">
      <c r="A57" s="44">
        <v>55</v>
      </c>
      <c r="B57" s="44" t="s">
        <v>87</v>
      </c>
      <c r="C57" s="44" t="s">
        <v>23</v>
      </c>
      <c r="D57" s="44">
        <v>125</v>
      </c>
      <c r="E57" s="44" t="s">
        <v>114</v>
      </c>
      <c r="F57" s="44">
        <v>124618</v>
      </c>
      <c r="G57" s="44" t="s">
        <v>153</v>
      </c>
      <c r="H57" s="44">
        <v>442</v>
      </c>
      <c r="I57" s="44">
        <v>74975</v>
      </c>
      <c r="J57" s="44">
        <v>24506457</v>
      </c>
      <c r="K57" s="44"/>
      <c r="L57" s="45" t="s">
        <v>152</v>
      </c>
    </row>
    <row r="58" spans="1:12" ht="14.25" customHeight="1" x14ac:dyDescent="0.3">
      <c r="A58" s="44">
        <v>56</v>
      </c>
      <c r="B58" s="44" t="s">
        <v>87</v>
      </c>
      <c r="C58" s="44" t="s">
        <v>23</v>
      </c>
      <c r="D58" s="44">
        <v>125</v>
      </c>
      <c r="E58" s="44" t="s">
        <v>116</v>
      </c>
      <c r="F58" s="44">
        <v>124619</v>
      </c>
      <c r="G58" s="44" t="s">
        <v>154</v>
      </c>
      <c r="H58" s="44">
        <v>442</v>
      </c>
      <c r="I58" s="44">
        <v>74976</v>
      </c>
      <c r="J58" s="44">
        <v>24506461</v>
      </c>
      <c r="K58" s="44"/>
      <c r="L58" s="45" t="s">
        <v>152</v>
      </c>
    </row>
    <row r="59" spans="1:12" ht="14.25" customHeight="1" x14ac:dyDescent="0.3">
      <c r="A59" s="44">
        <v>57</v>
      </c>
      <c r="B59" s="44" t="s">
        <v>87</v>
      </c>
      <c r="C59" s="44" t="s">
        <v>23</v>
      </c>
      <c r="D59" s="44">
        <v>125</v>
      </c>
      <c r="E59" s="44" t="s">
        <v>118</v>
      </c>
      <c r="F59" s="44">
        <v>124620</v>
      </c>
      <c r="G59" s="44">
        <v>44507</v>
      </c>
      <c r="H59" s="44">
        <v>442</v>
      </c>
      <c r="I59" s="44">
        <v>74977</v>
      </c>
      <c r="J59" s="44">
        <v>24506468</v>
      </c>
      <c r="K59" s="44"/>
      <c r="L59" s="45" t="s">
        <v>152</v>
      </c>
    </row>
    <row r="60" spans="1:12" ht="14.25" customHeight="1" x14ac:dyDescent="0.3">
      <c r="A60" s="44">
        <v>58</v>
      </c>
      <c r="B60" s="44" t="s">
        <v>87</v>
      </c>
      <c r="C60" s="44" t="s">
        <v>23</v>
      </c>
      <c r="D60" s="44">
        <v>125</v>
      </c>
      <c r="E60" s="44" t="s">
        <v>120</v>
      </c>
      <c r="F60" s="44">
        <v>124621</v>
      </c>
      <c r="G60" s="44" t="s">
        <v>155</v>
      </c>
      <c r="H60" s="44">
        <v>442</v>
      </c>
      <c r="I60" s="44">
        <v>74978</v>
      </c>
      <c r="J60" s="44">
        <v>24506474</v>
      </c>
      <c r="K60" s="44"/>
      <c r="L60" s="45" t="s">
        <v>152</v>
      </c>
    </row>
    <row r="61" spans="1:12" ht="14.25" customHeight="1" x14ac:dyDescent="0.3">
      <c r="A61" s="44">
        <v>59</v>
      </c>
      <c r="B61" s="44" t="s">
        <v>87</v>
      </c>
      <c r="C61" s="44" t="s">
        <v>23</v>
      </c>
      <c r="D61" s="44">
        <v>125</v>
      </c>
      <c r="E61" s="44" t="s">
        <v>122</v>
      </c>
      <c r="F61" s="44">
        <v>124622</v>
      </c>
      <c r="G61" s="44">
        <v>46509</v>
      </c>
      <c r="H61" s="44">
        <v>442</v>
      </c>
      <c r="I61" s="44">
        <v>74979</v>
      </c>
      <c r="J61" s="44">
        <v>24506476</v>
      </c>
      <c r="K61" s="44"/>
      <c r="L61" s="45" t="s">
        <v>152</v>
      </c>
    </row>
    <row r="62" spans="1:12" ht="14.25" customHeight="1" x14ac:dyDescent="0.3">
      <c r="A62" s="44">
        <v>60</v>
      </c>
      <c r="B62" s="44" t="s">
        <v>87</v>
      </c>
      <c r="C62" s="44" t="s">
        <v>23</v>
      </c>
      <c r="D62" s="44">
        <v>125</v>
      </c>
      <c r="E62" s="44">
        <v>21</v>
      </c>
      <c r="F62" s="44">
        <v>124623</v>
      </c>
      <c r="G62" s="44" t="s">
        <v>156</v>
      </c>
      <c r="H62" s="44">
        <v>442</v>
      </c>
      <c r="I62" s="44">
        <v>107931</v>
      </c>
      <c r="J62" s="44">
        <v>24506482</v>
      </c>
      <c r="K62" s="44"/>
      <c r="L62" s="45"/>
    </row>
    <row r="63" spans="1:12" ht="14.25" customHeight="1" x14ac:dyDescent="0.3">
      <c r="A63" s="44">
        <v>61</v>
      </c>
      <c r="B63" s="44" t="s">
        <v>87</v>
      </c>
      <c r="C63" s="44" t="s">
        <v>23</v>
      </c>
      <c r="D63" s="44">
        <v>125</v>
      </c>
      <c r="E63" s="44">
        <v>22</v>
      </c>
      <c r="F63" s="44">
        <v>124624</v>
      </c>
      <c r="G63" s="44" t="s">
        <v>157</v>
      </c>
      <c r="H63" s="44">
        <v>442</v>
      </c>
      <c r="I63" s="44">
        <v>107932</v>
      </c>
      <c r="J63" s="44">
        <v>24506485</v>
      </c>
      <c r="K63" s="44"/>
      <c r="L63" s="45"/>
    </row>
    <row r="64" spans="1:12" ht="14.25" customHeight="1" x14ac:dyDescent="0.3">
      <c r="A64" s="44">
        <v>62</v>
      </c>
      <c r="B64" s="44" t="s">
        <v>87</v>
      </c>
      <c r="C64" s="44" t="s">
        <v>23</v>
      </c>
      <c r="D64" s="44">
        <v>125</v>
      </c>
      <c r="E64" s="44">
        <v>23</v>
      </c>
      <c r="F64" s="44">
        <v>124625</v>
      </c>
      <c r="G64" s="44" t="s">
        <v>158</v>
      </c>
      <c r="H64" s="44">
        <v>442</v>
      </c>
      <c r="I64" s="44">
        <v>107933</v>
      </c>
      <c r="J64" s="44">
        <v>24506491</v>
      </c>
      <c r="K64" s="44"/>
      <c r="L64" s="45"/>
    </row>
    <row r="65" spans="1:12" ht="14.25" customHeight="1" x14ac:dyDescent="0.3">
      <c r="A65" s="44">
        <v>63</v>
      </c>
      <c r="B65" s="44" t="s">
        <v>87</v>
      </c>
      <c r="C65" s="44" t="s">
        <v>23</v>
      </c>
      <c r="D65" s="44">
        <v>125</v>
      </c>
      <c r="E65" s="44">
        <v>24</v>
      </c>
      <c r="F65" s="44">
        <v>124626</v>
      </c>
      <c r="G65" s="44" t="s">
        <v>159</v>
      </c>
      <c r="H65" s="44">
        <v>442</v>
      </c>
      <c r="I65" s="44">
        <v>107934</v>
      </c>
      <c r="J65" s="44">
        <v>24506494</v>
      </c>
      <c r="K65" s="44"/>
      <c r="L65" s="45"/>
    </row>
    <row r="66" spans="1:12" ht="14.25" customHeight="1" x14ac:dyDescent="0.3">
      <c r="A66" s="44">
        <v>64</v>
      </c>
      <c r="B66" s="44" t="s">
        <v>87</v>
      </c>
      <c r="C66" s="44" t="s">
        <v>23</v>
      </c>
      <c r="D66" s="44">
        <v>125</v>
      </c>
      <c r="E66" s="44">
        <v>25</v>
      </c>
      <c r="F66" s="44">
        <v>124627</v>
      </c>
      <c r="G66" s="44" t="s">
        <v>160</v>
      </c>
      <c r="H66" s="44">
        <v>442</v>
      </c>
      <c r="I66" s="44">
        <v>107935</v>
      </c>
      <c r="J66" s="44">
        <v>24506576</v>
      </c>
      <c r="K66" s="44"/>
      <c r="L66" s="45"/>
    </row>
    <row r="67" spans="1:12" ht="14.25" customHeight="1" x14ac:dyDescent="0.3">
      <c r="A67" s="44">
        <v>65</v>
      </c>
      <c r="B67" s="44" t="s">
        <v>87</v>
      </c>
      <c r="C67" s="44" t="s">
        <v>23</v>
      </c>
      <c r="D67" s="44">
        <v>125</v>
      </c>
      <c r="E67" s="44">
        <v>26</v>
      </c>
      <c r="F67" s="44">
        <v>124628</v>
      </c>
      <c r="G67" s="44" t="s">
        <v>161</v>
      </c>
      <c r="H67" s="44">
        <v>442</v>
      </c>
      <c r="I67" s="44">
        <v>107936</v>
      </c>
      <c r="J67" s="44">
        <v>24506581</v>
      </c>
      <c r="K67" s="44"/>
      <c r="L67" s="45"/>
    </row>
    <row r="68" spans="1:12" ht="14.25" customHeight="1" x14ac:dyDescent="0.3">
      <c r="A68" s="44">
        <v>66</v>
      </c>
      <c r="B68" s="44" t="s">
        <v>87</v>
      </c>
      <c r="C68" s="44" t="s">
        <v>23</v>
      </c>
      <c r="D68" s="44">
        <v>125</v>
      </c>
      <c r="E68" s="44">
        <v>27</v>
      </c>
      <c r="F68" s="44">
        <v>124629</v>
      </c>
      <c r="G68" s="44" t="s">
        <v>162</v>
      </c>
      <c r="H68" s="44">
        <v>442</v>
      </c>
      <c r="I68" s="44">
        <v>107937</v>
      </c>
      <c r="J68" s="44">
        <v>24506586</v>
      </c>
      <c r="K68" s="44"/>
      <c r="L68" s="45"/>
    </row>
    <row r="69" spans="1:12" ht="14.25" customHeight="1" x14ac:dyDescent="0.3">
      <c r="A69" s="44">
        <v>67</v>
      </c>
      <c r="B69" s="44" t="s">
        <v>87</v>
      </c>
      <c r="C69" s="44" t="s">
        <v>23</v>
      </c>
      <c r="D69" s="44">
        <v>125</v>
      </c>
      <c r="E69" s="44">
        <v>28</v>
      </c>
      <c r="F69" s="44">
        <v>124630</v>
      </c>
      <c r="G69" s="44" t="s">
        <v>163</v>
      </c>
      <c r="H69" s="44">
        <v>442</v>
      </c>
      <c r="I69" s="44">
        <v>107938</v>
      </c>
      <c r="J69" s="44">
        <v>24506591</v>
      </c>
      <c r="K69" s="44"/>
      <c r="L69" s="45"/>
    </row>
    <row r="70" spans="1:12" ht="14.25" customHeight="1" x14ac:dyDescent="0.3">
      <c r="A70" s="46">
        <v>68</v>
      </c>
      <c r="B70" s="46" t="s">
        <v>87</v>
      </c>
      <c r="C70" s="46" t="s">
        <v>23</v>
      </c>
      <c r="D70" s="46">
        <v>126</v>
      </c>
      <c r="E70" s="46">
        <v>1</v>
      </c>
      <c r="F70" s="46">
        <v>67429</v>
      </c>
      <c r="G70" s="46" t="s">
        <v>164</v>
      </c>
      <c r="H70" s="46">
        <v>804</v>
      </c>
      <c r="I70" s="46">
        <v>107939</v>
      </c>
      <c r="J70" s="46">
        <v>24492959</v>
      </c>
      <c r="K70" s="46" t="s">
        <v>165</v>
      </c>
      <c r="L70" s="47"/>
    </row>
    <row r="71" spans="1:12" ht="14.25" customHeight="1" x14ac:dyDescent="0.3">
      <c r="A71" s="46">
        <v>69</v>
      </c>
      <c r="B71" s="46" t="s">
        <v>87</v>
      </c>
      <c r="C71" s="46" t="s">
        <v>23</v>
      </c>
      <c r="D71" s="46">
        <v>126</v>
      </c>
      <c r="E71" s="46">
        <v>2</v>
      </c>
      <c r="F71" s="46">
        <v>124631</v>
      </c>
      <c r="G71" s="46" t="s">
        <v>166</v>
      </c>
      <c r="H71" s="46">
        <v>804</v>
      </c>
      <c r="I71" s="46">
        <v>107940</v>
      </c>
      <c r="J71" s="46">
        <v>24492965</v>
      </c>
      <c r="K71" s="46"/>
      <c r="L71" s="47"/>
    </row>
    <row r="72" spans="1:12" ht="14.25" customHeight="1" x14ac:dyDescent="0.3">
      <c r="A72" s="46">
        <v>70</v>
      </c>
      <c r="B72" s="46" t="s">
        <v>87</v>
      </c>
      <c r="C72" s="46" t="s">
        <v>23</v>
      </c>
      <c r="D72" s="46">
        <v>126</v>
      </c>
      <c r="E72" s="46">
        <v>3</v>
      </c>
      <c r="F72" s="46">
        <v>124632</v>
      </c>
      <c r="G72" s="46" t="s">
        <v>167</v>
      </c>
      <c r="H72" s="46">
        <v>804</v>
      </c>
      <c r="I72" s="46">
        <v>107941</v>
      </c>
      <c r="J72" s="46">
        <v>24492973</v>
      </c>
      <c r="K72" s="46"/>
      <c r="L72" s="47"/>
    </row>
    <row r="73" spans="1:12" ht="14.25" customHeight="1" x14ac:dyDescent="0.3">
      <c r="A73" s="46">
        <v>71</v>
      </c>
      <c r="B73" s="46" t="s">
        <v>87</v>
      </c>
      <c r="C73" s="46" t="s">
        <v>23</v>
      </c>
      <c r="D73" s="46">
        <v>126</v>
      </c>
      <c r="E73" s="46">
        <v>4</v>
      </c>
      <c r="F73" s="46">
        <v>124633</v>
      </c>
      <c r="G73" s="46" t="s">
        <v>168</v>
      </c>
      <c r="H73" s="46">
        <v>804</v>
      </c>
      <c r="I73" s="46">
        <v>107942</v>
      </c>
      <c r="J73" s="46">
        <v>24492982</v>
      </c>
      <c r="K73" s="46"/>
      <c r="L73" s="47"/>
    </row>
    <row r="74" spans="1:12" ht="14.25" customHeight="1" x14ac:dyDescent="0.3">
      <c r="A74" s="46">
        <v>72</v>
      </c>
      <c r="B74" s="46" t="s">
        <v>87</v>
      </c>
      <c r="C74" s="46" t="s">
        <v>23</v>
      </c>
      <c r="D74" s="46">
        <v>126</v>
      </c>
      <c r="E74" s="46">
        <v>5</v>
      </c>
      <c r="F74" s="46">
        <v>124634</v>
      </c>
      <c r="G74" s="46" t="s">
        <v>169</v>
      </c>
      <c r="H74" s="46">
        <v>804</v>
      </c>
      <c r="I74" s="46">
        <v>107943</v>
      </c>
      <c r="J74" s="46">
        <v>24492986</v>
      </c>
      <c r="K74" s="46"/>
      <c r="L74" s="47"/>
    </row>
    <row r="75" spans="1:12" ht="14.25" customHeight="1" x14ac:dyDescent="0.3">
      <c r="A75" s="46">
        <v>73</v>
      </c>
      <c r="B75" s="46" t="s">
        <v>87</v>
      </c>
      <c r="C75" s="46" t="s">
        <v>23</v>
      </c>
      <c r="D75" s="46">
        <v>126</v>
      </c>
      <c r="E75" s="46">
        <v>6</v>
      </c>
      <c r="F75" s="46">
        <v>124635</v>
      </c>
      <c r="G75" s="46" t="s">
        <v>170</v>
      </c>
      <c r="H75" s="46">
        <v>804</v>
      </c>
      <c r="I75" s="46">
        <v>107944</v>
      </c>
      <c r="J75" s="46">
        <v>24492991</v>
      </c>
      <c r="K75" s="46"/>
      <c r="L75" s="47"/>
    </row>
    <row r="76" spans="1:12" ht="14.25" customHeight="1" x14ac:dyDescent="0.3">
      <c r="A76" s="46">
        <v>74</v>
      </c>
      <c r="B76" s="46" t="s">
        <v>87</v>
      </c>
      <c r="C76" s="46" t="s">
        <v>23</v>
      </c>
      <c r="D76" s="46">
        <v>126</v>
      </c>
      <c r="E76" s="46">
        <v>7</v>
      </c>
      <c r="F76" s="46">
        <v>124636</v>
      </c>
      <c r="G76" s="46" t="s">
        <v>171</v>
      </c>
      <c r="H76" s="46">
        <v>804</v>
      </c>
      <c r="I76" s="46">
        <v>107945</v>
      </c>
      <c r="J76" s="46">
        <v>24492996</v>
      </c>
      <c r="K76" s="46"/>
      <c r="L76" s="47"/>
    </row>
    <row r="77" spans="1:12" ht="14.25" customHeight="1" x14ac:dyDescent="0.3">
      <c r="A77" s="46">
        <v>75</v>
      </c>
      <c r="B77" s="46" t="s">
        <v>87</v>
      </c>
      <c r="C77" s="46" t="s">
        <v>23</v>
      </c>
      <c r="D77" s="46">
        <v>126</v>
      </c>
      <c r="E77" s="46">
        <v>8</v>
      </c>
      <c r="F77" s="46">
        <v>124637</v>
      </c>
      <c r="G77" s="46" t="s">
        <v>172</v>
      </c>
      <c r="H77" s="46">
        <v>804</v>
      </c>
      <c r="I77" s="46">
        <v>107946</v>
      </c>
      <c r="J77" s="46">
        <v>24493012</v>
      </c>
      <c r="K77" s="46"/>
      <c r="L77" s="47"/>
    </row>
    <row r="78" spans="1:12" ht="14.25" customHeight="1" x14ac:dyDescent="0.3">
      <c r="A78" s="46">
        <v>76</v>
      </c>
      <c r="B78" s="46" t="s">
        <v>87</v>
      </c>
      <c r="C78" s="46" t="s">
        <v>23</v>
      </c>
      <c r="D78" s="46">
        <v>126</v>
      </c>
      <c r="E78" s="46">
        <v>10</v>
      </c>
      <c r="F78" s="46">
        <v>124639</v>
      </c>
      <c r="G78" s="46" t="s">
        <v>173</v>
      </c>
      <c r="H78" s="46">
        <v>804</v>
      </c>
      <c r="I78" s="46">
        <v>107947</v>
      </c>
      <c r="J78" s="46">
        <v>24493035</v>
      </c>
      <c r="K78" s="46"/>
      <c r="L78" s="47"/>
    </row>
    <row r="79" spans="1:12" ht="14.25" customHeight="1" x14ac:dyDescent="0.3">
      <c r="A79" s="46">
        <v>77</v>
      </c>
      <c r="B79" s="46" t="s">
        <v>87</v>
      </c>
      <c r="C79" s="46" t="s">
        <v>23</v>
      </c>
      <c r="D79" s="46">
        <v>126</v>
      </c>
      <c r="E79" s="46">
        <v>11</v>
      </c>
      <c r="F79" s="46">
        <v>124640</v>
      </c>
      <c r="G79" s="46" t="s">
        <v>174</v>
      </c>
      <c r="H79" s="46">
        <v>804</v>
      </c>
      <c r="I79" s="46">
        <v>107948</v>
      </c>
      <c r="J79" s="46">
        <v>24493071</v>
      </c>
      <c r="K79" s="46"/>
      <c r="L79" s="47"/>
    </row>
    <row r="80" spans="1:12" ht="14.25" customHeight="1" x14ac:dyDescent="0.3">
      <c r="A80" s="46">
        <v>78</v>
      </c>
      <c r="B80" s="46" t="s">
        <v>87</v>
      </c>
      <c r="C80" s="46" t="s">
        <v>23</v>
      </c>
      <c r="D80" s="46">
        <v>126</v>
      </c>
      <c r="E80" s="46">
        <v>12</v>
      </c>
      <c r="F80" s="46">
        <v>124641</v>
      </c>
      <c r="G80" s="46" t="s">
        <v>175</v>
      </c>
      <c r="H80" s="46">
        <v>804</v>
      </c>
      <c r="I80" s="46">
        <v>107949</v>
      </c>
      <c r="J80" s="46">
        <v>24493075</v>
      </c>
      <c r="K80" s="46"/>
      <c r="L80" s="47"/>
    </row>
    <row r="81" spans="1:12" ht="14.25" customHeight="1" x14ac:dyDescent="0.3">
      <c r="A81" s="46">
        <v>79</v>
      </c>
      <c r="B81" s="46" t="s">
        <v>87</v>
      </c>
      <c r="C81" s="46" t="s">
        <v>23</v>
      </c>
      <c r="D81" s="46">
        <v>126</v>
      </c>
      <c r="E81" s="46">
        <v>13</v>
      </c>
      <c r="F81" s="46">
        <v>124642</v>
      </c>
      <c r="G81" s="46" t="s">
        <v>176</v>
      </c>
      <c r="H81" s="46">
        <v>804</v>
      </c>
      <c r="I81" s="46">
        <v>107950</v>
      </c>
      <c r="J81" s="46">
        <v>24493086</v>
      </c>
      <c r="K81" s="46"/>
      <c r="L81" s="47"/>
    </row>
    <row r="82" spans="1:12" ht="14.25" customHeight="1" x14ac:dyDescent="0.3">
      <c r="A82" s="46">
        <v>80</v>
      </c>
      <c r="B82" s="46" t="s">
        <v>87</v>
      </c>
      <c r="C82" s="46" t="s">
        <v>23</v>
      </c>
      <c r="D82" s="46">
        <v>126</v>
      </c>
      <c r="E82" s="46">
        <v>14</v>
      </c>
      <c r="F82" s="46">
        <v>124643</v>
      </c>
      <c r="G82" s="46" t="s">
        <v>177</v>
      </c>
      <c r="H82" s="46">
        <v>804</v>
      </c>
      <c r="I82" s="46">
        <v>107951</v>
      </c>
      <c r="J82" s="46">
        <v>24493090</v>
      </c>
      <c r="K82" s="46"/>
      <c r="L82" s="47"/>
    </row>
    <row r="83" spans="1:12" ht="14.25" customHeight="1" x14ac:dyDescent="0.3">
      <c r="A83" s="46">
        <v>81</v>
      </c>
      <c r="B83" s="46" t="s">
        <v>87</v>
      </c>
      <c r="C83" s="46" t="s">
        <v>23</v>
      </c>
      <c r="D83" s="46">
        <v>126</v>
      </c>
      <c r="E83" s="46" t="s">
        <v>150</v>
      </c>
      <c r="F83" s="46">
        <v>124644</v>
      </c>
      <c r="G83" s="46" t="s">
        <v>178</v>
      </c>
      <c r="H83" s="46">
        <v>804</v>
      </c>
      <c r="I83" s="46">
        <v>107968</v>
      </c>
      <c r="J83" s="46">
        <v>24493091</v>
      </c>
      <c r="K83" s="46"/>
      <c r="L83" s="47"/>
    </row>
    <row r="84" spans="1:12" ht="14.25" customHeight="1" x14ac:dyDescent="0.3">
      <c r="A84" s="46">
        <v>82</v>
      </c>
      <c r="B84" s="46" t="s">
        <v>87</v>
      </c>
      <c r="C84" s="46" t="s">
        <v>23</v>
      </c>
      <c r="D84" s="46">
        <v>126</v>
      </c>
      <c r="E84" s="46" t="s">
        <v>114</v>
      </c>
      <c r="F84" s="46">
        <v>124645</v>
      </c>
      <c r="G84" s="46" t="s">
        <v>179</v>
      </c>
      <c r="H84" s="46">
        <v>804</v>
      </c>
      <c r="I84" s="46">
        <v>107969</v>
      </c>
      <c r="J84" s="46">
        <v>24493094</v>
      </c>
      <c r="K84" s="46"/>
      <c r="L84" s="47"/>
    </row>
    <row r="85" spans="1:12" ht="14.25" customHeight="1" x14ac:dyDescent="0.3">
      <c r="A85" s="46">
        <v>83</v>
      </c>
      <c r="B85" s="46" t="s">
        <v>87</v>
      </c>
      <c r="C85" s="46" t="s">
        <v>23</v>
      </c>
      <c r="D85" s="46">
        <v>126</v>
      </c>
      <c r="E85" s="46" t="s">
        <v>116</v>
      </c>
      <c r="F85" s="46">
        <v>124646</v>
      </c>
      <c r="G85" s="46" t="s">
        <v>180</v>
      </c>
      <c r="H85" s="46">
        <v>804</v>
      </c>
      <c r="I85" s="46">
        <v>107970</v>
      </c>
      <c r="J85" s="46">
        <v>24493099</v>
      </c>
      <c r="K85" s="46"/>
      <c r="L85" s="47"/>
    </row>
    <row r="86" spans="1:12" ht="14.25" customHeight="1" x14ac:dyDescent="0.3">
      <c r="A86" s="46">
        <v>84</v>
      </c>
      <c r="B86" s="46" t="s">
        <v>87</v>
      </c>
      <c r="C86" s="46" t="s">
        <v>23</v>
      </c>
      <c r="D86" s="46">
        <v>126</v>
      </c>
      <c r="E86" s="46" t="s">
        <v>118</v>
      </c>
      <c r="F86" s="46">
        <v>124647</v>
      </c>
      <c r="G86" s="46" t="s">
        <v>181</v>
      </c>
      <c r="H86" s="46">
        <v>804</v>
      </c>
      <c r="I86" s="46">
        <v>107971</v>
      </c>
      <c r="J86" s="46">
        <v>24493105</v>
      </c>
      <c r="K86" s="46"/>
      <c r="L86" s="47"/>
    </row>
    <row r="87" spans="1:12" ht="14.25" customHeight="1" x14ac:dyDescent="0.3">
      <c r="A87" s="46">
        <v>85</v>
      </c>
      <c r="B87" s="46" t="s">
        <v>87</v>
      </c>
      <c r="C87" s="46" t="s">
        <v>23</v>
      </c>
      <c r="D87" s="46">
        <v>126</v>
      </c>
      <c r="E87" s="46" t="s">
        <v>120</v>
      </c>
      <c r="F87" s="46">
        <v>124648</v>
      </c>
      <c r="G87" s="46" t="s">
        <v>182</v>
      </c>
      <c r="H87" s="46">
        <v>804</v>
      </c>
      <c r="I87" s="46">
        <v>107972</v>
      </c>
      <c r="J87" s="46">
        <v>24493123</v>
      </c>
      <c r="K87" s="46"/>
      <c r="L87" s="47"/>
    </row>
    <row r="88" spans="1:12" ht="14.25" customHeight="1" x14ac:dyDescent="0.3">
      <c r="A88" s="46">
        <v>86</v>
      </c>
      <c r="B88" s="46" t="s">
        <v>87</v>
      </c>
      <c r="C88" s="46" t="s">
        <v>23</v>
      </c>
      <c r="D88" s="46">
        <v>126</v>
      </c>
      <c r="E88" s="46" t="s">
        <v>122</v>
      </c>
      <c r="F88" s="46">
        <v>124649</v>
      </c>
      <c r="G88" s="46" t="s">
        <v>183</v>
      </c>
      <c r="H88" s="46">
        <v>804</v>
      </c>
      <c r="I88" s="46">
        <v>107973</v>
      </c>
      <c r="J88" s="46">
        <v>24493127</v>
      </c>
      <c r="K88" s="46"/>
      <c r="L88" s="47"/>
    </row>
    <row r="89" spans="1:12" ht="14.25" customHeight="1" x14ac:dyDescent="0.3">
      <c r="A89" s="46">
        <v>87</v>
      </c>
      <c r="B89" s="46" t="s">
        <v>87</v>
      </c>
      <c r="C89" s="46" t="s">
        <v>23</v>
      </c>
      <c r="D89" s="46">
        <v>126</v>
      </c>
      <c r="E89" s="46">
        <v>21</v>
      </c>
      <c r="F89" s="46">
        <v>124650</v>
      </c>
      <c r="G89" s="46" t="s">
        <v>184</v>
      </c>
      <c r="H89" s="46">
        <v>804</v>
      </c>
      <c r="I89" s="46">
        <v>107952</v>
      </c>
      <c r="J89" s="46">
        <v>24493131</v>
      </c>
      <c r="K89" s="46"/>
      <c r="L89" s="47"/>
    </row>
    <row r="90" spans="1:12" ht="14.25" customHeight="1" x14ac:dyDescent="0.3">
      <c r="A90" s="46">
        <v>88</v>
      </c>
      <c r="B90" s="46" t="s">
        <v>87</v>
      </c>
      <c r="C90" s="46" t="s">
        <v>23</v>
      </c>
      <c r="D90" s="46">
        <v>126</v>
      </c>
      <c r="E90" s="46">
        <v>22</v>
      </c>
      <c r="F90" s="46">
        <v>124651</v>
      </c>
      <c r="G90" s="46" t="s">
        <v>185</v>
      </c>
      <c r="H90" s="46">
        <v>804</v>
      </c>
      <c r="I90" s="46">
        <v>107957</v>
      </c>
      <c r="J90" s="46">
        <v>24493137</v>
      </c>
      <c r="K90" s="46"/>
      <c r="L90" s="47"/>
    </row>
    <row r="91" spans="1:12" ht="14.25" customHeight="1" x14ac:dyDescent="0.3">
      <c r="A91" s="46">
        <v>89</v>
      </c>
      <c r="B91" s="46" t="s">
        <v>87</v>
      </c>
      <c r="C91" s="46" t="s">
        <v>23</v>
      </c>
      <c r="D91" s="46">
        <v>126</v>
      </c>
      <c r="E91" s="46">
        <v>23</v>
      </c>
      <c r="F91" s="46">
        <v>124652</v>
      </c>
      <c r="G91" s="46" t="s">
        <v>186</v>
      </c>
      <c r="H91" s="46">
        <v>804</v>
      </c>
      <c r="I91" s="46">
        <v>107961</v>
      </c>
      <c r="J91" s="46">
        <v>24493141</v>
      </c>
      <c r="K91" s="46"/>
      <c r="L91" s="47"/>
    </row>
    <row r="92" spans="1:12" ht="14.25" customHeight="1" x14ac:dyDescent="0.3">
      <c r="A92" s="46">
        <v>90</v>
      </c>
      <c r="B92" s="46" t="s">
        <v>87</v>
      </c>
      <c r="C92" s="46" t="s">
        <v>23</v>
      </c>
      <c r="D92" s="46">
        <v>126</v>
      </c>
      <c r="E92" s="46">
        <v>24</v>
      </c>
      <c r="F92" s="46">
        <v>124653</v>
      </c>
      <c r="G92" s="46" t="s">
        <v>187</v>
      </c>
      <c r="H92" s="46">
        <v>804</v>
      </c>
      <c r="I92" s="46">
        <v>107962</v>
      </c>
      <c r="J92" s="46">
        <v>24493143</v>
      </c>
      <c r="K92" s="46"/>
      <c r="L92" s="47"/>
    </row>
    <row r="93" spans="1:12" ht="14.25" customHeight="1" x14ac:dyDescent="0.3">
      <c r="A93" s="46">
        <v>91</v>
      </c>
      <c r="B93" s="46" t="s">
        <v>87</v>
      </c>
      <c r="C93" s="46" t="s">
        <v>23</v>
      </c>
      <c r="D93" s="46">
        <v>126</v>
      </c>
      <c r="E93" s="46">
        <v>25</v>
      </c>
      <c r="F93" s="46">
        <v>124654</v>
      </c>
      <c r="G93" s="46" t="s">
        <v>188</v>
      </c>
      <c r="H93" s="46">
        <v>804</v>
      </c>
      <c r="I93" s="46">
        <v>74451</v>
      </c>
      <c r="J93" s="46">
        <v>24493144</v>
      </c>
      <c r="K93" s="46"/>
      <c r="L93" s="47"/>
    </row>
    <row r="94" spans="1:12" ht="14.25" customHeight="1" x14ac:dyDescent="0.3">
      <c r="A94" s="46">
        <v>92</v>
      </c>
      <c r="B94" s="46" t="s">
        <v>87</v>
      </c>
      <c r="C94" s="46" t="s">
        <v>23</v>
      </c>
      <c r="D94" s="46">
        <v>126</v>
      </c>
      <c r="E94" s="46">
        <v>26</v>
      </c>
      <c r="F94" s="46">
        <v>124655</v>
      </c>
      <c r="G94" s="46" t="s">
        <v>189</v>
      </c>
      <c r="H94" s="46">
        <v>804</v>
      </c>
      <c r="I94" s="46">
        <v>107963</v>
      </c>
      <c r="J94" s="46">
        <v>24493147</v>
      </c>
      <c r="K94" s="46"/>
      <c r="L94" s="47"/>
    </row>
    <row r="95" spans="1:12" ht="14.25" customHeight="1" x14ac:dyDescent="0.3">
      <c r="A95" s="46">
        <v>93</v>
      </c>
      <c r="B95" s="46" t="s">
        <v>87</v>
      </c>
      <c r="C95" s="46" t="s">
        <v>23</v>
      </c>
      <c r="D95" s="46">
        <v>126</v>
      </c>
      <c r="E95" s="46">
        <v>27</v>
      </c>
      <c r="F95" s="46">
        <v>124656</v>
      </c>
      <c r="G95" s="46" t="s">
        <v>190</v>
      </c>
      <c r="H95" s="46">
        <v>804</v>
      </c>
      <c r="I95" s="46">
        <v>107964</v>
      </c>
      <c r="J95" s="46">
        <v>24493206</v>
      </c>
      <c r="K95" s="46"/>
      <c r="L95" s="47"/>
    </row>
    <row r="96" spans="1:12" ht="14.25" customHeight="1" x14ac:dyDescent="0.3">
      <c r="A96" s="46">
        <v>94</v>
      </c>
      <c r="B96" s="46" t="s">
        <v>87</v>
      </c>
      <c r="C96" s="46" t="s">
        <v>23</v>
      </c>
      <c r="D96" s="46">
        <v>126</v>
      </c>
      <c r="E96" s="46">
        <v>28</v>
      </c>
      <c r="F96" s="46">
        <v>124657</v>
      </c>
      <c r="G96" s="46" t="s">
        <v>191</v>
      </c>
      <c r="H96" s="46">
        <v>804</v>
      </c>
      <c r="I96" s="46">
        <v>107965</v>
      </c>
      <c r="J96" s="46">
        <v>24493211</v>
      </c>
      <c r="K96" s="46"/>
      <c r="L96" s="47"/>
    </row>
    <row r="97" spans="1:12" ht="14.25" customHeight="1" x14ac:dyDescent="0.3">
      <c r="A97" s="48">
        <v>95</v>
      </c>
      <c r="B97" s="48" t="s">
        <v>87</v>
      </c>
      <c r="C97" s="48" t="s">
        <v>23</v>
      </c>
      <c r="D97" s="48">
        <v>156</v>
      </c>
      <c r="E97" s="48" t="s">
        <v>192</v>
      </c>
      <c r="F97" s="48">
        <v>95599</v>
      </c>
      <c r="G97" s="48" t="s">
        <v>193</v>
      </c>
      <c r="H97" s="48">
        <v>804</v>
      </c>
      <c r="I97" s="48">
        <v>108010</v>
      </c>
      <c r="J97" s="48">
        <v>24491981</v>
      </c>
      <c r="K97" s="48" t="s">
        <v>194</v>
      </c>
      <c r="L97" s="49"/>
    </row>
    <row r="98" spans="1:12" ht="14.25" customHeight="1" x14ac:dyDescent="0.3">
      <c r="A98" s="48">
        <v>96</v>
      </c>
      <c r="B98" s="48" t="s">
        <v>87</v>
      </c>
      <c r="C98" s="48" t="s">
        <v>23</v>
      </c>
      <c r="D98" s="48">
        <v>156</v>
      </c>
      <c r="E98" s="48" t="s">
        <v>195</v>
      </c>
      <c r="F98" s="48">
        <v>95600</v>
      </c>
      <c r="G98" s="48" t="s">
        <v>196</v>
      </c>
      <c r="H98" s="48">
        <v>804</v>
      </c>
      <c r="I98" s="48">
        <v>107996</v>
      </c>
      <c r="J98" s="48">
        <v>24492220</v>
      </c>
      <c r="K98" s="48"/>
      <c r="L98" s="49"/>
    </row>
    <row r="99" spans="1:12" ht="14.25" customHeight="1" x14ac:dyDescent="0.3">
      <c r="A99" s="48">
        <v>97</v>
      </c>
      <c r="B99" s="48" t="s">
        <v>87</v>
      </c>
      <c r="C99" s="48" t="s">
        <v>23</v>
      </c>
      <c r="D99" s="48">
        <v>156</v>
      </c>
      <c r="E99" s="48" t="s">
        <v>197</v>
      </c>
      <c r="F99" s="48">
        <v>95601</v>
      </c>
      <c r="G99" s="48" t="s">
        <v>198</v>
      </c>
      <c r="H99" s="48">
        <v>804</v>
      </c>
      <c r="I99" s="48">
        <v>107997</v>
      </c>
      <c r="J99" s="48">
        <v>24492715</v>
      </c>
      <c r="K99" s="48"/>
      <c r="L99" s="49"/>
    </row>
    <row r="100" spans="1:12" ht="14.25" customHeight="1" x14ac:dyDescent="0.3">
      <c r="A100" s="48">
        <v>98</v>
      </c>
      <c r="B100" s="48" t="s">
        <v>87</v>
      </c>
      <c r="C100" s="48" t="s">
        <v>23</v>
      </c>
      <c r="D100" s="48">
        <v>156</v>
      </c>
      <c r="E100" s="48" t="s">
        <v>199</v>
      </c>
      <c r="F100" s="48">
        <v>95602</v>
      </c>
      <c r="G100" s="48" t="s">
        <v>200</v>
      </c>
      <c r="H100" s="48">
        <v>804</v>
      </c>
      <c r="I100" s="48">
        <v>107998</v>
      </c>
      <c r="J100" s="48">
        <v>24492720</v>
      </c>
      <c r="K100" s="48"/>
      <c r="L100" s="49"/>
    </row>
    <row r="101" spans="1:12" ht="14.25" customHeight="1" x14ac:dyDescent="0.3">
      <c r="A101" s="48">
        <v>99</v>
      </c>
      <c r="B101" s="48" t="s">
        <v>87</v>
      </c>
      <c r="C101" s="48" t="s">
        <v>23</v>
      </c>
      <c r="D101" s="48">
        <v>156</v>
      </c>
      <c r="E101" s="48" t="s">
        <v>201</v>
      </c>
      <c r="F101" s="48">
        <v>95603</v>
      </c>
      <c r="G101" s="48" t="s">
        <v>202</v>
      </c>
      <c r="H101" s="48">
        <v>804</v>
      </c>
      <c r="I101" s="48">
        <v>107999</v>
      </c>
      <c r="J101" s="48">
        <v>24492725</v>
      </c>
      <c r="K101" s="48"/>
      <c r="L101" s="49"/>
    </row>
    <row r="102" spans="1:12" ht="14.25" customHeight="1" x14ac:dyDescent="0.3">
      <c r="A102" s="48">
        <v>100</v>
      </c>
      <c r="B102" s="48" t="s">
        <v>87</v>
      </c>
      <c r="C102" s="48" t="s">
        <v>23</v>
      </c>
      <c r="D102" s="48">
        <v>156</v>
      </c>
      <c r="E102" s="48">
        <v>8</v>
      </c>
      <c r="F102" s="48">
        <v>95605</v>
      </c>
      <c r="G102" s="48" t="s">
        <v>203</v>
      </c>
      <c r="H102" s="48">
        <v>804</v>
      </c>
      <c r="I102" s="48">
        <v>107974</v>
      </c>
      <c r="J102" s="48">
        <v>24492728</v>
      </c>
      <c r="K102" s="48"/>
      <c r="L102" s="49"/>
    </row>
    <row r="103" spans="1:12" ht="14.25" customHeight="1" x14ac:dyDescent="0.3">
      <c r="A103" s="48">
        <v>101</v>
      </c>
      <c r="B103" s="48" t="s">
        <v>87</v>
      </c>
      <c r="C103" s="48" t="s">
        <v>23</v>
      </c>
      <c r="D103" s="48">
        <v>156</v>
      </c>
      <c r="E103" s="48">
        <v>9</v>
      </c>
      <c r="F103" s="48">
        <v>95606</v>
      </c>
      <c r="G103" s="48" t="s">
        <v>204</v>
      </c>
      <c r="H103" s="48">
        <v>804</v>
      </c>
      <c r="I103" s="48">
        <v>107975</v>
      </c>
      <c r="J103" s="48">
        <v>24492751</v>
      </c>
      <c r="K103" s="48"/>
      <c r="L103" s="49"/>
    </row>
    <row r="104" spans="1:12" ht="14.25" customHeight="1" x14ac:dyDescent="0.3">
      <c r="A104" s="48">
        <v>102</v>
      </c>
      <c r="B104" s="48" t="s">
        <v>87</v>
      </c>
      <c r="C104" s="48" t="s">
        <v>23</v>
      </c>
      <c r="D104" s="48">
        <v>156</v>
      </c>
      <c r="E104" s="48">
        <v>10</v>
      </c>
      <c r="F104" s="48">
        <v>95607</v>
      </c>
      <c r="G104" s="48" t="s">
        <v>205</v>
      </c>
      <c r="H104" s="48">
        <v>804</v>
      </c>
      <c r="I104" s="48">
        <v>107976</v>
      </c>
      <c r="J104" s="48">
        <v>24492782</v>
      </c>
      <c r="K104" s="48"/>
      <c r="L104" s="49"/>
    </row>
    <row r="105" spans="1:12" ht="14.25" customHeight="1" x14ac:dyDescent="0.3">
      <c r="A105" s="48">
        <v>103</v>
      </c>
      <c r="B105" s="48" t="s">
        <v>87</v>
      </c>
      <c r="C105" s="48" t="s">
        <v>23</v>
      </c>
      <c r="D105" s="48">
        <v>156</v>
      </c>
      <c r="E105" s="48">
        <v>11</v>
      </c>
      <c r="F105" s="48">
        <v>95608</v>
      </c>
      <c r="G105" s="48" t="s">
        <v>206</v>
      </c>
      <c r="H105" s="48">
        <v>804</v>
      </c>
      <c r="I105" s="48">
        <v>107977</v>
      </c>
      <c r="J105" s="48">
        <v>24492790</v>
      </c>
      <c r="K105" s="48"/>
      <c r="L105" s="49"/>
    </row>
    <row r="106" spans="1:12" ht="14.25" customHeight="1" x14ac:dyDescent="0.3">
      <c r="A106" s="48">
        <v>104</v>
      </c>
      <c r="B106" s="48" t="s">
        <v>87</v>
      </c>
      <c r="C106" s="48" t="s">
        <v>23</v>
      </c>
      <c r="D106" s="48">
        <v>156</v>
      </c>
      <c r="E106" s="48">
        <v>12</v>
      </c>
      <c r="F106" s="48">
        <v>95609</v>
      </c>
      <c r="G106" s="48" t="s">
        <v>207</v>
      </c>
      <c r="H106" s="48">
        <v>804</v>
      </c>
      <c r="I106" s="48">
        <v>107978</v>
      </c>
      <c r="J106" s="48">
        <v>24492797</v>
      </c>
      <c r="K106" s="48"/>
      <c r="L106" s="49"/>
    </row>
    <row r="107" spans="1:12" ht="14.25" customHeight="1" x14ac:dyDescent="0.3">
      <c r="A107" s="48">
        <v>105</v>
      </c>
      <c r="B107" s="48" t="s">
        <v>87</v>
      </c>
      <c r="C107" s="48" t="s">
        <v>23</v>
      </c>
      <c r="D107" s="48">
        <v>156</v>
      </c>
      <c r="E107" s="48">
        <v>13</v>
      </c>
      <c r="F107" s="48">
        <v>95610</v>
      </c>
      <c r="G107" s="48" t="s">
        <v>208</v>
      </c>
      <c r="H107" s="48">
        <v>804</v>
      </c>
      <c r="I107" s="48">
        <v>107979</v>
      </c>
      <c r="J107" s="48">
        <v>24492803</v>
      </c>
      <c r="K107" s="48"/>
      <c r="L107" s="49"/>
    </row>
    <row r="108" spans="1:12" ht="14.25" customHeight="1" x14ac:dyDescent="0.3">
      <c r="A108" s="48">
        <v>106</v>
      </c>
      <c r="B108" s="48" t="s">
        <v>87</v>
      </c>
      <c r="C108" s="48" t="s">
        <v>23</v>
      </c>
      <c r="D108" s="48">
        <v>156</v>
      </c>
      <c r="E108" s="48">
        <v>14</v>
      </c>
      <c r="F108" s="48">
        <v>95611</v>
      </c>
      <c r="G108" s="48" t="s">
        <v>209</v>
      </c>
      <c r="H108" s="48">
        <v>804</v>
      </c>
      <c r="I108" s="48">
        <v>107980</v>
      </c>
      <c r="J108" s="48">
        <v>24492823</v>
      </c>
      <c r="K108" s="48"/>
      <c r="L108" s="49"/>
    </row>
    <row r="109" spans="1:12" ht="14.25" customHeight="1" x14ac:dyDescent="0.3">
      <c r="A109" s="48">
        <v>107</v>
      </c>
      <c r="B109" s="48" t="s">
        <v>87</v>
      </c>
      <c r="C109" s="48" t="s">
        <v>23</v>
      </c>
      <c r="D109" s="48">
        <v>156</v>
      </c>
      <c r="E109" s="48">
        <v>15</v>
      </c>
      <c r="F109" s="48">
        <v>95612</v>
      </c>
      <c r="G109" s="48" t="s">
        <v>210</v>
      </c>
      <c r="H109" s="48">
        <v>804</v>
      </c>
      <c r="I109" s="48">
        <v>107981</v>
      </c>
      <c r="J109" s="48">
        <v>24492858</v>
      </c>
      <c r="K109" s="48"/>
      <c r="L109" s="49"/>
    </row>
    <row r="110" spans="1:12" ht="14.25" customHeight="1" x14ac:dyDescent="0.3">
      <c r="A110" s="48">
        <v>108</v>
      </c>
      <c r="B110" s="48" t="s">
        <v>87</v>
      </c>
      <c r="C110" s="48" t="s">
        <v>23</v>
      </c>
      <c r="D110" s="48">
        <v>156</v>
      </c>
      <c r="E110" s="48">
        <v>16</v>
      </c>
      <c r="F110" s="48">
        <v>95613</v>
      </c>
      <c r="G110" s="48" t="s">
        <v>211</v>
      </c>
      <c r="H110" s="48">
        <v>804</v>
      </c>
      <c r="I110" s="48">
        <v>107982</v>
      </c>
      <c r="J110" s="48">
        <v>24492861</v>
      </c>
      <c r="K110" s="48"/>
      <c r="L110" s="49"/>
    </row>
    <row r="111" spans="1:12" ht="14.25" customHeight="1" x14ac:dyDescent="0.3">
      <c r="A111" s="48">
        <v>109</v>
      </c>
      <c r="B111" s="48" t="s">
        <v>87</v>
      </c>
      <c r="C111" s="48" t="s">
        <v>23</v>
      </c>
      <c r="D111" s="48">
        <v>156</v>
      </c>
      <c r="E111" s="48">
        <v>17</v>
      </c>
      <c r="F111" s="48">
        <v>95614</v>
      </c>
      <c r="G111" s="48" t="s">
        <v>212</v>
      </c>
      <c r="H111" s="48">
        <v>804</v>
      </c>
      <c r="I111" s="48">
        <v>107983</v>
      </c>
      <c r="J111" s="48">
        <v>24492864</v>
      </c>
      <c r="K111" s="48"/>
      <c r="L111" s="49"/>
    </row>
    <row r="112" spans="1:12" ht="14.25" customHeight="1" x14ac:dyDescent="0.3">
      <c r="A112" s="48">
        <v>110</v>
      </c>
      <c r="B112" s="48" t="s">
        <v>87</v>
      </c>
      <c r="C112" s="48" t="s">
        <v>23</v>
      </c>
      <c r="D112" s="48">
        <v>156</v>
      </c>
      <c r="E112" s="48">
        <v>18</v>
      </c>
      <c r="F112" s="48">
        <v>95615</v>
      </c>
      <c r="G112" s="48" t="s">
        <v>213</v>
      </c>
      <c r="H112" s="48">
        <v>804</v>
      </c>
      <c r="I112" s="48">
        <v>107984</v>
      </c>
      <c r="J112" s="48">
        <v>24492867</v>
      </c>
      <c r="K112" s="48"/>
      <c r="L112" s="49"/>
    </row>
    <row r="113" spans="1:12" ht="14.25" customHeight="1" x14ac:dyDescent="0.3">
      <c r="A113" s="48">
        <v>111</v>
      </c>
      <c r="B113" s="48" t="s">
        <v>87</v>
      </c>
      <c r="C113" s="48" t="s">
        <v>23</v>
      </c>
      <c r="D113" s="48">
        <v>156</v>
      </c>
      <c r="E113" s="48">
        <v>19</v>
      </c>
      <c r="F113" s="48">
        <v>95616</v>
      </c>
      <c r="G113" s="48" t="s">
        <v>214</v>
      </c>
      <c r="H113" s="48">
        <v>804</v>
      </c>
      <c r="I113" s="48">
        <v>107985</v>
      </c>
      <c r="J113" s="48">
        <v>24492870</v>
      </c>
      <c r="K113" s="48"/>
      <c r="L113" s="49"/>
    </row>
    <row r="114" spans="1:12" ht="14.25" customHeight="1" x14ac:dyDescent="0.3">
      <c r="A114" s="48">
        <v>112</v>
      </c>
      <c r="B114" s="48" t="s">
        <v>87</v>
      </c>
      <c r="C114" s="48" t="s">
        <v>23</v>
      </c>
      <c r="D114" s="48">
        <v>156</v>
      </c>
      <c r="E114" s="48">
        <v>20</v>
      </c>
      <c r="F114" s="48">
        <v>95617</v>
      </c>
      <c r="G114" s="48" t="s">
        <v>215</v>
      </c>
      <c r="H114" s="48">
        <v>804</v>
      </c>
      <c r="I114" s="48">
        <v>107986</v>
      </c>
      <c r="J114" s="48">
        <v>24492873</v>
      </c>
      <c r="K114" s="48"/>
      <c r="L114" s="49"/>
    </row>
    <row r="115" spans="1:12" ht="14.25" customHeight="1" x14ac:dyDescent="0.3">
      <c r="A115" s="48">
        <v>113</v>
      </c>
      <c r="B115" s="48" t="s">
        <v>87</v>
      </c>
      <c r="C115" s="48" t="s">
        <v>23</v>
      </c>
      <c r="D115" s="48">
        <v>156</v>
      </c>
      <c r="E115" s="48">
        <v>21</v>
      </c>
      <c r="F115" s="48">
        <v>95618</v>
      </c>
      <c r="G115" s="48" t="s">
        <v>216</v>
      </c>
      <c r="H115" s="48">
        <v>804</v>
      </c>
      <c r="I115" s="48">
        <v>107987</v>
      </c>
      <c r="J115" s="48">
        <v>24492879</v>
      </c>
      <c r="K115" s="48"/>
      <c r="L115" s="49"/>
    </row>
    <row r="116" spans="1:12" ht="14.25" customHeight="1" x14ac:dyDescent="0.3">
      <c r="A116" s="48">
        <v>114</v>
      </c>
      <c r="B116" s="48" t="s">
        <v>87</v>
      </c>
      <c r="C116" s="48" t="s">
        <v>23</v>
      </c>
      <c r="D116" s="48">
        <v>156</v>
      </c>
      <c r="E116" s="48">
        <v>22</v>
      </c>
      <c r="F116" s="48">
        <v>95619</v>
      </c>
      <c r="G116" s="48" t="s">
        <v>217</v>
      </c>
      <c r="H116" s="48">
        <v>804</v>
      </c>
      <c r="I116" s="48">
        <v>107988</v>
      </c>
      <c r="J116" s="48">
        <v>24492880</v>
      </c>
      <c r="K116" s="48"/>
      <c r="L116" s="49"/>
    </row>
    <row r="117" spans="1:12" ht="14.25" customHeight="1" x14ac:dyDescent="0.3">
      <c r="A117" s="48">
        <v>115</v>
      </c>
      <c r="B117" s="48" t="s">
        <v>87</v>
      </c>
      <c r="C117" s="48" t="s">
        <v>23</v>
      </c>
      <c r="D117" s="48">
        <v>156</v>
      </c>
      <c r="E117" s="48">
        <v>23</v>
      </c>
      <c r="F117" s="48">
        <v>95620</v>
      </c>
      <c r="G117" s="48" t="s">
        <v>218</v>
      </c>
      <c r="H117" s="48">
        <v>804</v>
      </c>
      <c r="I117" s="48">
        <v>107989</v>
      </c>
      <c r="J117" s="48">
        <v>24492882</v>
      </c>
      <c r="K117" s="48"/>
      <c r="L117" s="49"/>
    </row>
    <row r="118" spans="1:12" ht="14.25" customHeight="1" x14ac:dyDescent="0.3">
      <c r="A118" s="48">
        <v>116</v>
      </c>
      <c r="B118" s="48" t="s">
        <v>87</v>
      </c>
      <c r="C118" s="48" t="s">
        <v>23</v>
      </c>
      <c r="D118" s="48">
        <v>156</v>
      </c>
      <c r="E118" s="48">
        <v>25</v>
      </c>
      <c r="F118" s="48">
        <v>95622</v>
      </c>
      <c r="G118" s="48" t="s">
        <v>219</v>
      </c>
      <c r="H118" s="48">
        <v>804</v>
      </c>
      <c r="I118" s="48">
        <v>107990</v>
      </c>
      <c r="J118" s="48">
        <v>24492885</v>
      </c>
      <c r="K118" s="48"/>
      <c r="L118" s="49"/>
    </row>
    <row r="119" spans="1:12" ht="14.25" customHeight="1" x14ac:dyDescent="0.3">
      <c r="A119" s="48">
        <v>117</v>
      </c>
      <c r="B119" s="48" t="s">
        <v>87</v>
      </c>
      <c r="C119" s="48" t="s">
        <v>23</v>
      </c>
      <c r="D119" s="48">
        <v>156</v>
      </c>
      <c r="E119" s="48">
        <v>26</v>
      </c>
      <c r="F119" s="48">
        <v>95623</v>
      </c>
      <c r="G119" s="48" t="s">
        <v>220</v>
      </c>
      <c r="H119" s="48">
        <v>804</v>
      </c>
      <c r="I119" s="48">
        <v>107991</v>
      </c>
      <c r="J119" s="48">
        <v>24492897</v>
      </c>
      <c r="K119" s="48"/>
      <c r="L119" s="49"/>
    </row>
    <row r="120" spans="1:12" ht="14.25" customHeight="1" x14ac:dyDescent="0.3">
      <c r="A120" s="48">
        <v>118</v>
      </c>
      <c r="B120" s="48" t="s">
        <v>87</v>
      </c>
      <c r="C120" s="48" t="s">
        <v>23</v>
      </c>
      <c r="D120" s="48">
        <v>156</v>
      </c>
      <c r="E120" s="48">
        <v>27</v>
      </c>
      <c r="F120" s="48">
        <v>95624</v>
      </c>
      <c r="G120" s="48" t="s">
        <v>221</v>
      </c>
      <c r="H120" s="48">
        <v>804</v>
      </c>
      <c r="I120" s="48">
        <v>107992</v>
      </c>
      <c r="J120" s="48">
        <v>24492901</v>
      </c>
      <c r="K120" s="48"/>
      <c r="L120" s="49"/>
    </row>
    <row r="121" spans="1:12" ht="14.25" customHeight="1" x14ac:dyDescent="0.3">
      <c r="A121" s="48">
        <v>119</v>
      </c>
      <c r="B121" s="48" t="s">
        <v>87</v>
      </c>
      <c r="C121" s="48" t="s">
        <v>23</v>
      </c>
      <c r="D121" s="48">
        <v>156</v>
      </c>
      <c r="E121" s="48">
        <v>28</v>
      </c>
      <c r="F121" s="48">
        <v>95625</v>
      </c>
      <c r="G121" s="48" t="s">
        <v>222</v>
      </c>
      <c r="H121" s="48">
        <v>804</v>
      </c>
      <c r="I121" s="48">
        <v>107993</v>
      </c>
      <c r="J121" s="48">
        <v>24492906</v>
      </c>
      <c r="K121" s="48"/>
      <c r="L121" s="49"/>
    </row>
    <row r="122" spans="1:12" ht="14.25" customHeight="1" x14ac:dyDescent="0.3">
      <c r="A122" s="48">
        <v>120</v>
      </c>
      <c r="B122" s="48" t="s">
        <v>87</v>
      </c>
      <c r="C122" s="48" t="s">
        <v>23</v>
      </c>
      <c r="D122" s="48">
        <v>156</v>
      </c>
      <c r="E122" s="48">
        <v>31</v>
      </c>
      <c r="F122" s="48">
        <v>95628</v>
      </c>
      <c r="G122" s="48" t="s">
        <v>223</v>
      </c>
      <c r="H122" s="48">
        <v>804</v>
      </c>
      <c r="I122" s="48">
        <v>107994</v>
      </c>
      <c r="J122" s="48">
        <v>24492910</v>
      </c>
      <c r="K122" s="48"/>
      <c r="L122" s="49"/>
    </row>
    <row r="123" spans="1:12" ht="14.25" customHeight="1" x14ac:dyDescent="0.3">
      <c r="A123" s="48">
        <v>121</v>
      </c>
      <c r="B123" s="48" t="s">
        <v>87</v>
      </c>
      <c r="C123" s="48" t="s">
        <v>23</v>
      </c>
      <c r="D123" s="48">
        <v>156</v>
      </c>
      <c r="E123" s="48">
        <v>33</v>
      </c>
      <c r="F123" s="48">
        <v>95530</v>
      </c>
      <c r="G123" s="48" t="s">
        <v>224</v>
      </c>
      <c r="H123" s="48">
        <v>804</v>
      </c>
      <c r="I123" s="48">
        <v>107995</v>
      </c>
      <c r="J123" s="48">
        <v>24492916</v>
      </c>
      <c r="K123" s="48"/>
      <c r="L123" s="49"/>
    </row>
    <row r="124" spans="1:12" ht="14.25" customHeight="1" x14ac:dyDescent="0.3"/>
    <row r="125" spans="1:12" ht="14.25" customHeight="1" x14ac:dyDescent="0.3"/>
    <row r="126" spans="1:12" ht="14.25" customHeight="1" x14ac:dyDescent="0.3"/>
    <row r="127" spans="1:12" ht="14.25" customHeight="1" x14ac:dyDescent="0.3"/>
    <row r="128" spans="1:12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2:L123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1000"/>
  <sheetViews>
    <sheetView workbookViewId="0"/>
  </sheetViews>
  <sheetFormatPr defaultColWidth="14.44140625" defaultRowHeight="15" customHeight="1" x14ac:dyDescent="0.3"/>
  <cols>
    <col min="1" max="1" width="12" customWidth="1"/>
    <col min="2" max="2" width="15" customWidth="1"/>
    <col min="3" max="3" width="18" customWidth="1"/>
    <col min="4" max="26" width="8.6640625" customWidth="1"/>
  </cols>
  <sheetData>
    <row r="1" spans="1:3" ht="14.25" customHeight="1" x14ac:dyDescent="0.3">
      <c r="A1" s="4" t="s">
        <v>3</v>
      </c>
      <c r="B1" s="4" t="s">
        <v>231</v>
      </c>
      <c r="C1" s="4" t="s">
        <v>229</v>
      </c>
    </row>
    <row r="2" spans="1:3" ht="14.25" customHeight="1" x14ac:dyDescent="0.3">
      <c r="A2" s="50">
        <v>96</v>
      </c>
      <c r="B2" s="50">
        <v>16</v>
      </c>
      <c r="C2" s="50" t="s">
        <v>89</v>
      </c>
    </row>
    <row r="3" spans="1:3" ht="14.25" customHeight="1" x14ac:dyDescent="0.3">
      <c r="A3" s="51">
        <v>124</v>
      </c>
      <c r="B3" s="51">
        <v>23</v>
      </c>
      <c r="C3" s="51" t="s">
        <v>105</v>
      </c>
    </row>
    <row r="4" spans="1:3" ht="14.25" customHeight="1" x14ac:dyDescent="0.3">
      <c r="A4" s="52">
        <v>125</v>
      </c>
      <c r="B4" s="52">
        <v>28</v>
      </c>
      <c r="C4" s="52" t="s">
        <v>136</v>
      </c>
    </row>
    <row r="5" spans="1:3" ht="14.25" customHeight="1" x14ac:dyDescent="0.3">
      <c r="A5" s="53">
        <v>126</v>
      </c>
      <c r="B5" s="53">
        <v>27</v>
      </c>
      <c r="C5" s="53" t="s">
        <v>165</v>
      </c>
    </row>
    <row r="6" spans="1:3" ht="14.25" customHeight="1" x14ac:dyDescent="0.3">
      <c r="A6" s="54">
        <v>156</v>
      </c>
      <c r="B6" s="54">
        <v>27</v>
      </c>
      <c r="C6" s="54" t="s">
        <v>194</v>
      </c>
    </row>
    <row r="7" spans="1:3" ht="14.25" customHeight="1" x14ac:dyDescent="0.3">
      <c r="A7" s="55" t="s">
        <v>232</v>
      </c>
      <c r="B7" s="56">
        <f>SUM(B2:B6)</f>
        <v>121</v>
      </c>
    </row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Listado Unificado de Parcelas</vt:lpstr>
      <vt:lpstr>Original Lotes Escritura</vt:lpstr>
      <vt:lpstr>Original Lotes a Escriturar</vt:lpstr>
      <vt:lpstr>Original Resumen por Manzana 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Korn</dc:creator>
  <cp:lastModifiedBy>Julian Korn</cp:lastModifiedBy>
  <dcterms:created xsi:type="dcterms:W3CDTF">2026-04-09T14:09:38Z</dcterms:created>
  <dcterms:modified xsi:type="dcterms:W3CDTF">2026-04-10T19:34:22Z</dcterms:modified>
</cp:coreProperties>
</file>