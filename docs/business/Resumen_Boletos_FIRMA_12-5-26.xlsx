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scritorio\"/>
    </mc:Choice>
  </mc:AlternateContent>
  <xr:revisionPtr revIDLastSave="0" documentId="13_ncr:1_{D64F7D95-0288-4114-B460-059F614B9408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Notas" sheetId="1" r:id="rId1"/>
    <sheet name="Boletos FIRMA 12-5-26" sheetId="2" r:id="rId2"/>
    <sheet name="Hoja1" sheetId="5" r:id="rId3"/>
    <sheet name="Checklist completitud" sheetId="3" r:id="rId4"/>
    <sheet name="Validación monto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4" l="1"/>
  <c r="M9" i="4" s="1"/>
  <c r="H9" i="4"/>
  <c r="J9" i="4" s="1"/>
  <c r="K8" i="4"/>
  <c r="M8" i="4" s="1"/>
  <c r="H8" i="4"/>
  <c r="J8" i="4" s="1"/>
  <c r="K7" i="4"/>
  <c r="M7" i="4" s="1"/>
  <c r="H7" i="4"/>
  <c r="J7" i="4" s="1"/>
  <c r="K6" i="4"/>
  <c r="M6" i="4" s="1"/>
  <c r="H6" i="4"/>
  <c r="J6" i="4" s="1"/>
  <c r="K5" i="4"/>
  <c r="M5" i="4" s="1"/>
  <c r="H5" i="4"/>
  <c r="J5" i="4" s="1"/>
  <c r="K4" i="4"/>
  <c r="M4" i="4" s="1"/>
  <c r="H4" i="4"/>
  <c r="J4" i="4" s="1"/>
  <c r="K3" i="4"/>
  <c r="M3" i="4" s="1"/>
  <c r="H3" i="4"/>
  <c r="J3" i="4" s="1"/>
  <c r="K2" i="4"/>
  <c r="M2" i="4" s="1"/>
  <c r="H2" i="4"/>
  <c r="J2" i="4" s="1"/>
</calcChain>
</file>

<file path=xl/sharedStrings.xml><?xml version="1.0" encoding="utf-8"?>
<sst xmlns="http://schemas.openxmlformats.org/spreadsheetml/2006/main" count="436" uniqueCount="184">
  <si>
    <t>RESUMEN — Boletos generados para la firma del 12/05/2026 (Barrio Stefani SA)</t>
  </si>
  <si>
    <t>8 boletos generados:</t>
  </si>
  <si>
    <t xml:space="preserve">  • 1 CONTADO  (Carlos Alberto Gallo, M3 L28, U$S 15.000)</t>
  </si>
  <si>
    <t xml:space="preserve">  • 7 CUOTAS  (Mundel, Alvarez x2, Palacio, Zeballos, Gomez, Serrano)</t>
  </si>
  <si>
    <t>Datos faltantes que requieren completar a mano antes de la firma:</t>
  </si>
  <si>
    <t xml:space="preserve">  • Calles del frente de cada lote (extraer de la escritura) — los 8 boletos.</t>
  </si>
  <si>
    <t xml:space="preserve">  • Calles linderas de cada lote (extraer de la escritura) — los 8 boletos.</t>
  </si>
  <si>
    <t xml:space="preserve">  • Estado civil de Carlos Alberto Gallo (no consta en su ficha).</t>
  </si>
  <si>
    <t>Inconsistencias detectadas en las fichas (revisar con el comprador):</t>
  </si>
  <si>
    <t xml:space="preserve">  • Carlos Alberto Gallo y Karen Magali Serrano comparten email magaligallo455@gmail.com</t>
  </si>
  <si>
    <t xml:space="preserve">  • Carlos Alejandro Palacio y Rodrigo Gaston Zeballos comparten email alejandropalacio85@gmail.com</t>
  </si>
  <si>
    <t>Convenciones usadas:</t>
  </si>
  <si>
    <t xml:space="preserve">  • VALOR TOTAL del boleto = ANTICIPO + (CUOTAS × MONTO_CUOTA), incluye intereses.</t>
  </si>
  <si>
    <t xml:space="preserve">  • Partida inmobiliaria: 074-XXX.XXX (074 = Moreno, XXX.XXX = Partida ARBA, NO la municipal).</t>
  </si>
  <si>
    <t xml:space="preserve">  • Escribano Sebastián E. Nadela, Registro Notarial 1453.</t>
  </si>
  <si>
    <t xml:space="preserve">  • Manzana 3 → Escritura 103 / Folio 541 / 04-03-2026.</t>
  </si>
  <si>
    <t xml:space="preserve">  • Manzana 33 → Escritura 106 / Folio 573 / 04-03-2026.</t>
  </si>
  <si>
    <t>Veronica Andrea De Los Santos (M156 L26) tiene ficha en la carpeta FIRMA 12-5-26 pero NO está</t>
  </si>
  <si>
    <t>en la planilla con esa fecha de firma → no se generó su boleto.</t>
  </si>
  <si>
    <t>#</t>
  </si>
  <si>
    <t>Archivo generado</t>
  </si>
  <si>
    <t>Modalidad</t>
  </si>
  <si>
    <t>Fecha firma</t>
  </si>
  <si>
    <t>Nombre y apellido</t>
  </si>
  <si>
    <t>DNI</t>
  </si>
  <si>
    <t>CUIT</t>
  </si>
  <si>
    <t>Nacionalidad</t>
  </si>
  <si>
    <t>Fecha nac.</t>
  </si>
  <si>
    <t>Estado civil</t>
  </si>
  <si>
    <t>Profesión</t>
  </si>
  <si>
    <t>Domicilio</t>
  </si>
  <si>
    <t>Email</t>
  </si>
  <si>
    <t>Teléfono</t>
  </si>
  <si>
    <t>Manzana</t>
  </si>
  <si>
    <t>Lote</t>
  </si>
  <si>
    <t>Parcela</t>
  </si>
  <si>
    <t>Sup. m²</t>
  </si>
  <si>
    <t>Medidas</t>
  </si>
  <si>
    <t>Partida ARBA</t>
  </si>
  <si>
    <t>Matrícula</t>
  </si>
  <si>
    <t>Escritura Nº</t>
  </si>
  <si>
    <t>Folio</t>
  </si>
  <si>
    <t>Fecha esc.</t>
  </si>
  <si>
    <t>Calles frente</t>
  </si>
  <si>
    <t>Calles linderas</t>
  </si>
  <si>
    <t>Valor lote (USD)</t>
  </si>
  <si>
    <t>Valor total boleto (USD)</t>
  </si>
  <si>
    <t>Anticipo (USD)</t>
  </si>
  <si>
    <t>Saldo (USD)</t>
  </si>
  <si>
    <t>Cant. cuotas</t>
  </si>
  <si>
    <t>Monto cuota (USD)</t>
  </si>
  <si>
    <t>Broker</t>
  </si>
  <si>
    <t>Boleto_Lote-28_Manzana-3_Gallo.docx</t>
  </si>
  <si>
    <t>CONTADO</t>
  </si>
  <si>
    <t>12/05/2026</t>
  </si>
  <si>
    <t>CARLOS ALBERTO GALLO</t>
  </si>
  <si>
    <t>24.903.695</t>
  </si>
  <si>
    <t>20-24903695-2</t>
  </si>
  <si>
    <t>ARGENTINO</t>
  </si>
  <si>
    <t>08/05/1976</t>
  </si>
  <si>
    <t>[FALTA]</t>
  </si>
  <si>
    <t>PARQUISTA</t>
  </si>
  <si>
    <t>Escalada 9416, Cuartel V, Moreno, Bs As, CP 1744</t>
  </si>
  <si>
    <t>magaligallo455@gmail.com</t>
  </si>
  <si>
    <t>11 3133 6409</t>
  </si>
  <si>
    <t>10 x 30</t>
  </si>
  <si>
    <t>199.527</t>
  </si>
  <si>
    <t>74.462</t>
  </si>
  <si>
    <t>103</t>
  </si>
  <si>
    <t>541</t>
  </si>
  <si>
    <t>04/03/2026</t>
  </si>
  <si>
    <t>Victoria Anabia</t>
  </si>
  <si>
    <t>Boleto_Lote-5_Manzana-33_Mundel.docx</t>
  </si>
  <si>
    <t>CUOTAS</t>
  </si>
  <si>
    <t>CRISTIAN EDUARDO MUNDEL</t>
  </si>
  <si>
    <t>41.802.864</t>
  </si>
  <si>
    <t>20-41802864-6</t>
  </si>
  <si>
    <t>07/03/1999</t>
  </si>
  <si>
    <t>SOLTERO</t>
  </si>
  <si>
    <t>EMPLEADO</t>
  </si>
  <si>
    <t>La Música 7502, Cuartel V, Moreno, Bs As, CP 1664</t>
  </si>
  <si>
    <t>MUNDELCRISTIAN@ICLOUD.COM</t>
  </si>
  <si>
    <t>11 7114-4259</t>
  </si>
  <si>
    <t>10 x 23,5</t>
  </si>
  <si>
    <t>199.638</t>
  </si>
  <si>
    <t>74.262</t>
  </si>
  <si>
    <t>106</t>
  </si>
  <si>
    <t>573</t>
  </si>
  <si>
    <t>Boleto_Lote-7_Manzana-33_Alvarez.docx</t>
  </si>
  <si>
    <t>JULIETA AYLEN ALVAREZ</t>
  </si>
  <si>
    <t>47.116.882</t>
  </si>
  <si>
    <t>27-47116882-9</t>
  </si>
  <si>
    <t>ARGENTINA</t>
  </si>
  <si>
    <t>26/01/2006</t>
  </si>
  <si>
    <t>SOLTERA</t>
  </si>
  <si>
    <t>ESTUDIANTE</t>
  </si>
  <si>
    <t>Arechavala 5567, Cuartel V, Moreno, Bs As, CP 1744</t>
  </si>
  <si>
    <t>julieta.alvarez@gmail.com</t>
  </si>
  <si>
    <t>1164555657</t>
  </si>
  <si>
    <t>199.640</t>
  </si>
  <si>
    <t>74.264</t>
  </si>
  <si>
    <t>Boleto_Lote-8_Manzana-33_Alvarez.docx</t>
  </si>
  <si>
    <t>199.641</t>
  </si>
  <si>
    <t>74.265</t>
  </si>
  <si>
    <t>Boleto_Lote-11_Manzana-33_Palacio.docx</t>
  </si>
  <si>
    <t>CARLOS ALEJANDRO PALACIO</t>
  </si>
  <si>
    <t>31.173.559</t>
  </si>
  <si>
    <t>20-31173559-5</t>
  </si>
  <si>
    <t>08/09/1984</t>
  </si>
  <si>
    <t>CHOFER DE COLECTIVO</t>
  </si>
  <si>
    <t>Malabia 5602, Bo San Norberto, Cuartel V, Moreno, Bs As, CP 1744</t>
  </si>
  <si>
    <t>alejandropalacio85@gmail.com</t>
  </si>
  <si>
    <t>1165826034</t>
  </si>
  <si>
    <t>199.644</t>
  </si>
  <si>
    <t>74.268</t>
  </si>
  <si>
    <t>Boleto_Lote-13_Manzana-33_Zeballos.docx</t>
  </si>
  <si>
    <t>RODRIGO GASTON ZEBALLOS</t>
  </si>
  <si>
    <t>38.924.150</t>
  </si>
  <si>
    <t>20-38924150-5</t>
  </si>
  <si>
    <t>30/03/1995</t>
  </si>
  <si>
    <t>VIGILADOR GENERAL</t>
  </si>
  <si>
    <t>Montes de Oca 6520, Moreno, Bs As, CP 1744</t>
  </si>
  <si>
    <t>11 6471 5587</t>
  </si>
  <si>
    <t>199.646</t>
  </si>
  <si>
    <t>74.270</t>
  </si>
  <si>
    <t>Victoria Anabia / Juan Stefani</t>
  </si>
  <si>
    <t>Boleto_Lote-14_Manzana-33_Gomez.docx</t>
  </si>
  <si>
    <t>DIEGO JESUS GOMEZ</t>
  </si>
  <si>
    <t>32.977.534</t>
  </si>
  <si>
    <t>20-32977534-9</t>
  </si>
  <si>
    <t>11/03/1987</t>
  </si>
  <si>
    <t>PROFESOR</t>
  </si>
  <si>
    <t>Santa Marta 1269, Bo Santa Julia, José C Paz, Bs As</t>
  </si>
  <si>
    <t>diegomez7@abc.gov.ar</t>
  </si>
  <si>
    <t>1165986276</t>
  </si>
  <si>
    <t>199.647</t>
  </si>
  <si>
    <t>74.271</t>
  </si>
  <si>
    <t>Boleto_Lote-26_Manzana-33_Serrano.docx</t>
  </si>
  <si>
    <t>KAREN MAGALI SERRANO</t>
  </si>
  <si>
    <t>43.102.893</t>
  </si>
  <si>
    <t>27-43102893-5</t>
  </si>
  <si>
    <t>19/12/2000</t>
  </si>
  <si>
    <t>PROFESORA DE EDUCACION PRIMARIA</t>
  </si>
  <si>
    <t>Escalada 9055, Cuartel V, Moreno, Bs As, CP 1744</t>
  </si>
  <si>
    <t>MAGALIGALLO455@GMAIL.COM</t>
  </si>
  <si>
    <t>1169521319</t>
  </si>
  <si>
    <t>199.659</t>
  </si>
  <si>
    <t>74.283</t>
  </si>
  <si>
    <t>Campo</t>
  </si>
  <si>
    <t>L28-M3
Gallo</t>
  </si>
  <si>
    <t>L5-M33
Mundel</t>
  </si>
  <si>
    <t>L7-M33
Alvarez</t>
  </si>
  <si>
    <t>L8-M33
Alvarez</t>
  </si>
  <si>
    <t>L11-M33
Palacio</t>
  </si>
  <si>
    <t>L13-M33
Zeballos</t>
  </si>
  <si>
    <t>L14-M33
Gomez</t>
  </si>
  <si>
    <t>L26-M33
Serrano</t>
  </si>
  <si>
    <t>✓ OK</t>
  </si>
  <si>
    <t>Fecha nacimiento</t>
  </si>
  <si>
    <t>✗ FALTA</t>
  </si>
  <si>
    <t>Valor total</t>
  </si>
  <si>
    <t>Anticipo</t>
  </si>
  <si>
    <t>Saldo (si aplica)</t>
  </si>
  <si>
    <t>N/A</t>
  </si>
  <si>
    <t>Cant. cuotas (si aplica)</t>
  </si>
  <si>
    <t>Monto cuota (si aplica)</t>
  </si>
  <si>
    <t>Comprador</t>
  </si>
  <si>
    <t>Anticipo (a)</t>
  </si>
  <si>
    <t>Cuotas (b)</t>
  </si>
  <si>
    <t>Monto cuota (c)</t>
  </si>
  <si>
    <t>b × c (d)</t>
  </si>
  <si>
    <t>Saldo planilla (e)</t>
  </si>
  <si>
    <t>Diff (e-d)</t>
  </si>
  <si>
    <t>a + e (Total)</t>
  </si>
  <si>
    <t>Total boleto (f)</t>
  </si>
  <si>
    <t>Diff (f-(a+e))</t>
  </si>
  <si>
    <t>M3-L28</t>
  </si>
  <si>
    <t>M33-L5</t>
  </si>
  <si>
    <t>M33-L7</t>
  </si>
  <si>
    <t>M33-L8</t>
  </si>
  <si>
    <t>M33-L11</t>
  </si>
  <si>
    <t>M33-L13</t>
  </si>
  <si>
    <t>M33-L14</t>
  </si>
  <si>
    <t>M33-L26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</si>
</sst>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U$S &quot;#,##0"/>
    <numFmt numFmtId="165" formatCode="&quot;U$S &quot;#,##0;\-;\-"/>
    <numFmt numFmtId="166" formatCode="&quot;U$S &quot;#,##0;[Red]&quot;U$S (&quot;#,##0\)"/>
  </numFmts>
  <fonts count="6" x14ac:knownFonts="1">
    <font>
      <sz val="11"/>
      <color theme="1"/>
      <name val="Calibri"/>
      <family val="2"/>
      <charset val="1"/>
    </font>
    <font>
      <b/>
      <sz val="11"/>
      <color rgb="FF2C3E50"/>
      <name val="Arial"/>
      <charset val="1"/>
    </font>
    <font>
      <sz val="11"/>
      <color rgb="FF424242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424242"/>
      </patternFill>
    </fill>
    <fill>
      <patternFill patternType="solid">
        <fgColor rgb="FFFFCDD2"/>
        <bgColor rgb="FFECEFF1"/>
      </patternFill>
    </fill>
    <fill>
      <patternFill patternType="solid">
        <fgColor rgb="FFFFF59D"/>
        <bgColor rgb="FFECEFF1"/>
      </patternFill>
    </fill>
    <fill>
      <patternFill patternType="solid">
        <fgColor rgb="FFC8E6C9"/>
        <bgColor rgb="FFECEFF1"/>
      </patternFill>
    </fill>
    <fill>
      <patternFill patternType="solid">
        <fgColor rgb="FFECEFF1"/>
        <b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CEF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24242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zoomScaleNormal="100" workbookViewId="0">
      <selection activeCell="A12" sqref="A12"/>
    </sheetView>
  </sheetViews>
  <sheetFormatPr baseColWidth="10" defaultColWidth="8.7109375" defaultRowHeight="15" x14ac:dyDescent="0.25"/>
  <cols>
    <col min="1" max="1" width="100" customWidth="1"/>
  </cols>
  <sheetData>
    <row r="1" spans="1:1" ht="21.75" customHeight="1" x14ac:dyDescent="0.25">
      <c r="A1" s="1" t="s">
        <v>0</v>
      </c>
    </row>
    <row r="2" spans="1:1" x14ac:dyDescent="0.25">
      <c r="A2" s="2"/>
    </row>
    <row r="3" spans="1:1" ht="21.75" customHeight="1" x14ac:dyDescent="0.25">
      <c r="A3" s="1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ht="21.75" customHeight="1" x14ac:dyDescent="0.25">
      <c r="A7" s="1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ht="21.75" customHeight="1" x14ac:dyDescent="0.25">
      <c r="A12" s="1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/>
    </row>
    <row r="16" spans="1:1" ht="21.75" customHeight="1" x14ac:dyDescent="0.25">
      <c r="A16" s="1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/>
    </row>
    <row r="23" spans="1:1" ht="21.75" customHeight="1" x14ac:dyDescent="0.25">
      <c r="A23" s="1" t="s">
        <v>17</v>
      </c>
    </row>
    <row r="24" spans="1:1" x14ac:dyDescent="0.25">
      <c r="A24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F2"/>
    </sheetView>
  </sheetViews>
  <sheetFormatPr baseColWidth="10" defaultColWidth="8.7109375" defaultRowHeight="15" x14ac:dyDescent="0.25"/>
  <cols>
    <col min="1" max="1" width="4" customWidth="1"/>
    <col min="2" max="2" width="38" customWidth="1"/>
    <col min="3" max="3" width="10.5703125" bestFit="1" customWidth="1"/>
    <col min="4" max="4" width="11" customWidth="1"/>
    <col min="5" max="5" width="29.140625" bestFit="1" customWidth="1"/>
    <col min="6" max="6" width="13" customWidth="1"/>
    <col min="7" max="7" width="16" customWidth="1"/>
    <col min="8" max="9" width="12" customWidth="1"/>
    <col min="10" max="10" width="14" customWidth="1"/>
    <col min="11" max="11" width="22" customWidth="1"/>
    <col min="12" max="12" width="50" customWidth="1"/>
    <col min="13" max="13" width="30" customWidth="1"/>
    <col min="14" max="14" width="14" customWidth="1"/>
    <col min="15" max="15" width="7" bestFit="1" customWidth="1"/>
    <col min="16" max="16" width="6" customWidth="1"/>
    <col min="17" max="17" width="8" customWidth="1"/>
    <col min="18" max="18" width="9" customWidth="1"/>
    <col min="19" max="19" width="11" customWidth="1"/>
    <col min="20" max="20" width="13" customWidth="1"/>
    <col min="21" max="21" width="11" customWidth="1"/>
    <col min="22" max="22" width="12" customWidth="1"/>
    <col min="23" max="23" width="7" customWidth="1"/>
    <col min="24" max="24" width="12" customWidth="1"/>
    <col min="25" max="26" width="18" customWidth="1"/>
    <col min="27" max="27" width="15" customWidth="1"/>
    <col min="28" max="28" width="18" customWidth="1"/>
    <col min="29" max="30" width="14" customWidth="1"/>
    <col min="31" max="31" width="11" customWidth="1"/>
    <col min="32" max="32" width="15" customWidth="1"/>
    <col min="33" max="33" width="24" customWidth="1"/>
  </cols>
  <sheetData>
    <row r="1" spans="1:33" ht="31.5" customHeight="1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</row>
    <row r="2" spans="1:33" ht="25.5" x14ac:dyDescent="0.25">
      <c r="A2" s="4">
        <v>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6" t="s">
        <v>60</v>
      </c>
      <c r="K2" s="5" t="s">
        <v>61</v>
      </c>
      <c r="L2" s="5" t="s">
        <v>62</v>
      </c>
      <c r="M2" s="7" t="s">
        <v>63</v>
      </c>
      <c r="N2" s="5" t="s">
        <v>64</v>
      </c>
      <c r="O2" s="4">
        <v>3</v>
      </c>
      <c r="P2" s="4">
        <v>28</v>
      </c>
      <c r="Q2" s="4">
        <v>28</v>
      </c>
      <c r="R2" s="8">
        <v>298.69</v>
      </c>
      <c r="S2" s="5" t="s">
        <v>65</v>
      </c>
      <c r="T2" s="5" t="s">
        <v>66</v>
      </c>
      <c r="U2" s="5" t="s">
        <v>67</v>
      </c>
      <c r="V2" s="5" t="s">
        <v>68</v>
      </c>
      <c r="W2" s="5" t="s">
        <v>69</v>
      </c>
      <c r="X2" s="5" t="s">
        <v>70</v>
      </c>
      <c r="Y2" s="6" t="s">
        <v>60</v>
      </c>
      <c r="Z2" s="6" t="s">
        <v>60</v>
      </c>
      <c r="AA2" s="9">
        <v>15000</v>
      </c>
      <c r="AB2" s="9">
        <v>15000</v>
      </c>
      <c r="AC2" s="9">
        <v>15000</v>
      </c>
      <c r="AD2" s="10">
        <v>0</v>
      </c>
      <c r="AE2" s="4">
        <v>0</v>
      </c>
      <c r="AF2" s="10">
        <v>0</v>
      </c>
      <c r="AG2" s="5" t="s">
        <v>71</v>
      </c>
    </row>
    <row r="3" spans="1:33" ht="25.5" x14ac:dyDescent="0.25">
      <c r="A3" s="4">
        <v>2</v>
      </c>
      <c r="B3" s="5" t="s">
        <v>72</v>
      </c>
      <c r="C3" s="5" t="s">
        <v>73</v>
      </c>
      <c r="D3" s="5" t="s">
        <v>54</v>
      </c>
      <c r="E3" s="5" t="s">
        <v>74</v>
      </c>
      <c r="F3" s="5" t="s">
        <v>75</v>
      </c>
      <c r="G3" s="5" t="s">
        <v>76</v>
      </c>
      <c r="H3" s="5" t="s">
        <v>58</v>
      </c>
      <c r="I3" s="5" t="s">
        <v>77</v>
      </c>
      <c r="J3" s="5" t="s">
        <v>78</v>
      </c>
      <c r="K3" s="5" t="s">
        <v>79</v>
      </c>
      <c r="L3" s="5" t="s">
        <v>80</v>
      </c>
      <c r="M3" s="5" t="s">
        <v>81</v>
      </c>
      <c r="N3" s="5" t="s">
        <v>82</v>
      </c>
      <c r="O3" s="4">
        <v>33</v>
      </c>
      <c r="P3" s="4">
        <v>5</v>
      </c>
      <c r="Q3" s="4">
        <v>5</v>
      </c>
      <c r="R3" s="8">
        <v>233.98</v>
      </c>
      <c r="S3" s="5" t="s">
        <v>83</v>
      </c>
      <c r="T3" s="5" t="s">
        <v>84</v>
      </c>
      <c r="U3" s="5" t="s">
        <v>85</v>
      </c>
      <c r="V3" s="5" t="s">
        <v>86</v>
      </c>
      <c r="W3" s="5" t="s">
        <v>87</v>
      </c>
      <c r="X3" s="5" t="s">
        <v>70</v>
      </c>
      <c r="Y3" s="6" t="s">
        <v>60</v>
      </c>
      <c r="Z3" s="6" t="s">
        <v>60</v>
      </c>
      <c r="AA3" s="9">
        <v>13500</v>
      </c>
      <c r="AB3" s="9">
        <v>18036</v>
      </c>
      <c r="AC3" s="9">
        <v>4050</v>
      </c>
      <c r="AD3" s="9">
        <v>13986</v>
      </c>
      <c r="AE3" s="4">
        <v>48</v>
      </c>
      <c r="AF3" s="9">
        <v>291</v>
      </c>
      <c r="AG3" s="5" t="s">
        <v>71</v>
      </c>
    </row>
    <row r="4" spans="1:33" x14ac:dyDescent="0.25">
      <c r="A4" s="4">
        <v>3</v>
      </c>
      <c r="B4" s="5" t="s">
        <v>88</v>
      </c>
      <c r="C4" s="5" t="s">
        <v>73</v>
      </c>
      <c r="D4" s="5" t="s">
        <v>54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4">
        <v>33</v>
      </c>
      <c r="P4" s="4">
        <v>7</v>
      </c>
      <c r="Q4" s="4">
        <v>7</v>
      </c>
      <c r="R4" s="8">
        <v>298.69</v>
      </c>
      <c r="S4" s="5" t="s">
        <v>65</v>
      </c>
      <c r="T4" s="5" t="s">
        <v>99</v>
      </c>
      <c r="U4" s="5" t="s">
        <v>100</v>
      </c>
      <c r="V4" s="5" t="s">
        <v>86</v>
      </c>
      <c r="W4" s="5" t="s">
        <v>87</v>
      </c>
      <c r="X4" s="5" t="s">
        <v>70</v>
      </c>
      <c r="Y4" s="6" t="s">
        <v>60</v>
      </c>
      <c r="Z4" s="6" t="s">
        <v>60</v>
      </c>
      <c r="AA4" s="9">
        <v>15000</v>
      </c>
      <c r="AB4" s="9">
        <v>17520</v>
      </c>
      <c r="AC4" s="9">
        <v>4500</v>
      </c>
      <c r="AD4" s="9">
        <v>13020</v>
      </c>
      <c r="AE4" s="4">
        <v>24</v>
      </c>
      <c r="AF4" s="9">
        <v>543</v>
      </c>
      <c r="AG4" s="5" t="s">
        <v>71</v>
      </c>
    </row>
    <row r="5" spans="1:33" x14ac:dyDescent="0.25">
      <c r="A5" s="4">
        <v>4</v>
      </c>
      <c r="B5" s="5" t="s">
        <v>101</v>
      </c>
      <c r="C5" s="5" t="s">
        <v>73</v>
      </c>
      <c r="D5" s="5" t="s">
        <v>54</v>
      </c>
      <c r="E5" s="5" t="s">
        <v>89</v>
      </c>
      <c r="F5" s="5" t="s">
        <v>90</v>
      </c>
      <c r="G5" s="5" t="s">
        <v>91</v>
      </c>
      <c r="H5" s="5" t="s">
        <v>92</v>
      </c>
      <c r="I5" s="5" t="s">
        <v>93</v>
      </c>
      <c r="J5" s="5" t="s">
        <v>94</v>
      </c>
      <c r="K5" s="5" t="s">
        <v>95</v>
      </c>
      <c r="L5" s="5" t="s">
        <v>96</v>
      </c>
      <c r="M5" s="5" t="s">
        <v>97</v>
      </c>
      <c r="N5" s="5" t="s">
        <v>98</v>
      </c>
      <c r="O5" s="4">
        <v>33</v>
      </c>
      <c r="P5" s="4">
        <v>8</v>
      </c>
      <c r="Q5" s="4">
        <v>8</v>
      </c>
      <c r="R5" s="8">
        <v>298.69</v>
      </c>
      <c r="S5" s="5" t="s">
        <v>65</v>
      </c>
      <c r="T5" s="5" t="s">
        <v>102</v>
      </c>
      <c r="U5" s="5" t="s">
        <v>103</v>
      </c>
      <c r="V5" s="5" t="s">
        <v>86</v>
      </c>
      <c r="W5" s="5" t="s">
        <v>87</v>
      </c>
      <c r="X5" s="5" t="s">
        <v>70</v>
      </c>
      <c r="Y5" s="6" t="s">
        <v>60</v>
      </c>
      <c r="Z5" s="6" t="s">
        <v>60</v>
      </c>
      <c r="AA5" s="9">
        <v>15000</v>
      </c>
      <c r="AB5" s="9">
        <v>17520</v>
      </c>
      <c r="AC5" s="9">
        <v>4500</v>
      </c>
      <c r="AD5" s="9">
        <v>13020</v>
      </c>
      <c r="AE5" s="4">
        <v>24</v>
      </c>
      <c r="AF5" s="9">
        <v>543</v>
      </c>
      <c r="AG5" s="5" t="s">
        <v>71</v>
      </c>
    </row>
    <row r="6" spans="1:33" ht="25.5" x14ac:dyDescent="0.25">
      <c r="A6" s="4">
        <v>5</v>
      </c>
      <c r="B6" s="5" t="s">
        <v>104</v>
      </c>
      <c r="C6" s="5" t="s">
        <v>73</v>
      </c>
      <c r="D6" s="5" t="s">
        <v>54</v>
      </c>
      <c r="E6" s="5" t="s">
        <v>105</v>
      </c>
      <c r="F6" s="5" t="s">
        <v>106</v>
      </c>
      <c r="G6" s="5" t="s">
        <v>107</v>
      </c>
      <c r="H6" s="5" t="s">
        <v>58</v>
      </c>
      <c r="I6" s="5" t="s">
        <v>108</v>
      </c>
      <c r="J6" s="5" t="s">
        <v>78</v>
      </c>
      <c r="K6" s="5" t="s">
        <v>109</v>
      </c>
      <c r="L6" s="5" t="s">
        <v>110</v>
      </c>
      <c r="M6" s="7" t="s">
        <v>111</v>
      </c>
      <c r="N6" s="5" t="s">
        <v>112</v>
      </c>
      <c r="O6" s="4">
        <v>33</v>
      </c>
      <c r="P6" s="4">
        <v>11</v>
      </c>
      <c r="Q6" s="4">
        <v>11</v>
      </c>
      <c r="R6" s="8">
        <v>298.69</v>
      </c>
      <c r="S6" s="5" t="s">
        <v>65</v>
      </c>
      <c r="T6" s="5" t="s">
        <v>113</v>
      </c>
      <c r="U6" s="5" t="s">
        <v>114</v>
      </c>
      <c r="V6" s="5" t="s">
        <v>86</v>
      </c>
      <c r="W6" s="5" t="s">
        <v>87</v>
      </c>
      <c r="X6" s="5" t="s">
        <v>70</v>
      </c>
      <c r="Y6" s="6" t="s">
        <v>60</v>
      </c>
      <c r="Z6" s="6" t="s">
        <v>60</v>
      </c>
      <c r="AA6" s="9">
        <v>15000</v>
      </c>
      <c r="AB6" s="9">
        <v>22560</v>
      </c>
      <c r="AC6" s="9">
        <v>4500</v>
      </c>
      <c r="AD6" s="9">
        <v>18060</v>
      </c>
      <c r="AE6" s="4">
        <v>72</v>
      </c>
      <c r="AF6" s="9">
        <v>251</v>
      </c>
      <c r="AG6" s="5" t="s">
        <v>71</v>
      </c>
    </row>
    <row r="7" spans="1:33" ht="25.5" x14ac:dyDescent="0.25">
      <c r="A7" s="4">
        <v>6</v>
      </c>
      <c r="B7" s="5" t="s">
        <v>115</v>
      </c>
      <c r="C7" s="5" t="s">
        <v>73</v>
      </c>
      <c r="D7" s="5" t="s">
        <v>54</v>
      </c>
      <c r="E7" s="5" t="s">
        <v>116</v>
      </c>
      <c r="F7" s="5" t="s">
        <v>117</v>
      </c>
      <c r="G7" s="5" t="s">
        <v>118</v>
      </c>
      <c r="H7" s="5" t="s">
        <v>58</v>
      </c>
      <c r="I7" s="5" t="s">
        <v>119</v>
      </c>
      <c r="J7" s="5" t="s">
        <v>78</v>
      </c>
      <c r="K7" s="5" t="s">
        <v>120</v>
      </c>
      <c r="L7" s="5" t="s">
        <v>121</v>
      </c>
      <c r="M7" s="7" t="s">
        <v>111</v>
      </c>
      <c r="N7" s="5" t="s">
        <v>122</v>
      </c>
      <c r="O7" s="4">
        <v>33</v>
      </c>
      <c r="P7" s="4">
        <v>13</v>
      </c>
      <c r="Q7" s="4">
        <v>13</v>
      </c>
      <c r="R7" s="8">
        <v>298.69</v>
      </c>
      <c r="S7" s="5" t="s">
        <v>65</v>
      </c>
      <c r="T7" s="5" t="s">
        <v>123</v>
      </c>
      <c r="U7" s="5" t="s">
        <v>124</v>
      </c>
      <c r="V7" s="5" t="s">
        <v>86</v>
      </c>
      <c r="W7" s="5" t="s">
        <v>87</v>
      </c>
      <c r="X7" s="5" t="s">
        <v>70</v>
      </c>
      <c r="Y7" s="6" t="s">
        <v>60</v>
      </c>
      <c r="Z7" s="6" t="s">
        <v>60</v>
      </c>
      <c r="AA7" s="9">
        <v>15000</v>
      </c>
      <c r="AB7" s="9">
        <v>20040</v>
      </c>
      <c r="AC7" s="9">
        <v>4500</v>
      </c>
      <c r="AD7" s="9">
        <v>15540</v>
      </c>
      <c r="AE7" s="4">
        <v>48</v>
      </c>
      <c r="AF7" s="9">
        <v>324</v>
      </c>
      <c r="AG7" s="5" t="s">
        <v>125</v>
      </c>
    </row>
    <row r="8" spans="1:33" x14ac:dyDescent="0.25">
      <c r="A8" s="4">
        <v>7</v>
      </c>
      <c r="B8" s="5" t="s">
        <v>126</v>
      </c>
      <c r="C8" s="5" t="s">
        <v>73</v>
      </c>
      <c r="D8" s="5" t="s">
        <v>54</v>
      </c>
      <c r="E8" s="5" t="s">
        <v>127</v>
      </c>
      <c r="F8" s="5" t="s">
        <v>128</v>
      </c>
      <c r="G8" s="5" t="s">
        <v>129</v>
      </c>
      <c r="H8" s="5" t="s">
        <v>58</v>
      </c>
      <c r="I8" s="5" t="s">
        <v>130</v>
      </c>
      <c r="J8" s="5" t="s">
        <v>78</v>
      </c>
      <c r="K8" s="5" t="s">
        <v>131</v>
      </c>
      <c r="L8" s="5" t="s">
        <v>132</v>
      </c>
      <c r="M8" s="5" t="s">
        <v>133</v>
      </c>
      <c r="N8" s="5" t="s">
        <v>134</v>
      </c>
      <c r="O8" s="4">
        <v>33</v>
      </c>
      <c r="P8" s="4">
        <v>14</v>
      </c>
      <c r="Q8" s="4">
        <v>14</v>
      </c>
      <c r="R8" s="8">
        <v>298.69</v>
      </c>
      <c r="S8" s="5" t="s">
        <v>65</v>
      </c>
      <c r="T8" s="5" t="s">
        <v>135</v>
      </c>
      <c r="U8" s="5" t="s">
        <v>136</v>
      </c>
      <c r="V8" s="5" t="s">
        <v>86</v>
      </c>
      <c r="W8" s="5" t="s">
        <v>87</v>
      </c>
      <c r="X8" s="5" t="s">
        <v>70</v>
      </c>
      <c r="Y8" s="6" t="s">
        <v>60</v>
      </c>
      <c r="Z8" s="6" t="s">
        <v>60</v>
      </c>
      <c r="AA8" s="9">
        <v>15000</v>
      </c>
      <c r="AB8" s="9">
        <v>18780</v>
      </c>
      <c r="AC8" s="9">
        <v>4500</v>
      </c>
      <c r="AD8" s="9">
        <v>14280</v>
      </c>
      <c r="AE8" s="4">
        <v>36</v>
      </c>
      <c r="AF8" s="9">
        <v>397</v>
      </c>
      <c r="AG8" s="5" t="s">
        <v>71</v>
      </c>
    </row>
    <row r="9" spans="1:33" ht="25.5" x14ac:dyDescent="0.25">
      <c r="A9" s="4">
        <v>8</v>
      </c>
      <c r="B9" s="5" t="s">
        <v>137</v>
      </c>
      <c r="C9" s="5" t="s">
        <v>73</v>
      </c>
      <c r="D9" s="5" t="s">
        <v>54</v>
      </c>
      <c r="E9" s="5" t="s">
        <v>138</v>
      </c>
      <c r="F9" s="5" t="s">
        <v>139</v>
      </c>
      <c r="G9" s="5" t="s">
        <v>140</v>
      </c>
      <c r="H9" s="5" t="s">
        <v>92</v>
      </c>
      <c r="I9" s="5" t="s">
        <v>141</v>
      </c>
      <c r="J9" s="5" t="s">
        <v>94</v>
      </c>
      <c r="K9" s="5" t="s">
        <v>142</v>
      </c>
      <c r="L9" s="5" t="s">
        <v>143</v>
      </c>
      <c r="M9" s="7" t="s">
        <v>144</v>
      </c>
      <c r="N9" s="5" t="s">
        <v>145</v>
      </c>
      <c r="O9" s="4">
        <v>33</v>
      </c>
      <c r="P9" s="4">
        <v>26</v>
      </c>
      <c r="Q9" s="4">
        <v>26</v>
      </c>
      <c r="R9" s="8">
        <v>298.69</v>
      </c>
      <c r="S9" s="5" t="s">
        <v>65</v>
      </c>
      <c r="T9" s="5" t="s">
        <v>146</v>
      </c>
      <c r="U9" s="5" t="s">
        <v>147</v>
      </c>
      <c r="V9" s="5" t="s">
        <v>86</v>
      </c>
      <c r="W9" s="5" t="s">
        <v>87</v>
      </c>
      <c r="X9" s="5" t="s">
        <v>70</v>
      </c>
      <c r="Y9" s="6" t="s">
        <v>60</v>
      </c>
      <c r="Z9" s="6" t="s">
        <v>60</v>
      </c>
      <c r="AA9" s="9">
        <v>15000</v>
      </c>
      <c r="AB9" s="9">
        <v>18780</v>
      </c>
      <c r="AC9" s="9">
        <v>4500</v>
      </c>
      <c r="AD9" s="9">
        <v>14280</v>
      </c>
      <c r="AE9" s="4">
        <v>36</v>
      </c>
      <c r="AF9" s="9">
        <v>397</v>
      </c>
      <c r="AG9" s="5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1B43-B450-4CEC-AAD8-438EFD42E0B4}">
  <dimension ref="A1"/>
  <sheetViews>
    <sheetView workbookViewId="0">
      <selection activeCell="B3" sqref="B3"/>
    </sheetView>
  </sheetViews>
  <sheetFormatPr baseColWidth="10" defaultRowHeight="15" x14ac:dyDescent="0.25"/>
  <sheetData>
    <row r="1" spans="1:1" x14ac:dyDescent="0.25">
      <c r="A1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Normal="100" workbookViewId="0">
      <selection activeCell="F21" sqref="F21"/>
    </sheetView>
  </sheetViews>
  <sheetFormatPr baseColWidth="10" defaultColWidth="8.7109375" defaultRowHeight="15" x14ac:dyDescent="0.25"/>
  <cols>
    <col min="1" max="1" width="38" customWidth="1"/>
    <col min="2" max="9" width="11" customWidth="1"/>
  </cols>
  <sheetData>
    <row r="1" spans="1:9" ht="31.5" customHeight="1" x14ac:dyDescent="0.25">
      <c r="A1" s="11" t="s">
        <v>148</v>
      </c>
      <c r="B1" s="12" t="s">
        <v>149</v>
      </c>
      <c r="C1" s="12" t="s">
        <v>150</v>
      </c>
      <c r="D1" s="12" t="s">
        <v>151</v>
      </c>
      <c r="E1" s="12" t="s">
        <v>152</v>
      </c>
      <c r="F1" s="12" t="s">
        <v>153</v>
      </c>
      <c r="G1" s="12" t="s">
        <v>154</v>
      </c>
      <c r="H1" s="12" t="s">
        <v>155</v>
      </c>
      <c r="I1" s="12" t="s">
        <v>156</v>
      </c>
    </row>
    <row r="2" spans="1:9" x14ac:dyDescent="0.25">
      <c r="A2" s="13" t="s">
        <v>23</v>
      </c>
      <c r="B2" s="14" t="s">
        <v>157</v>
      </c>
      <c r="C2" s="14" t="s">
        <v>157</v>
      </c>
      <c r="D2" s="14" t="s">
        <v>157</v>
      </c>
      <c r="E2" s="14" t="s">
        <v>157</v>
      </c>
      <c r="F2" s="14" t="s">
        <v>157</v>
      </c>
      <c r="G2" s="14" t="s">
        <v>157</v>
      </c>
      <c r="H2" s="14" t="s">
        <v>157</v>
      </c>
      <c r="I2" s="14" t="s">
        <v>157</v>
      </c>
    </row>
    <row r="3" spans="1:9" x14ac:dyDescent="0.25">
      <c r="A3" s="13" t="s">
        <v>24</v>
      </c>
      <c r="B3" s="14" t="s">
        <v>157</v>
      </c>
      <c r="C3" s="14" t="s">
        <v>157</v>
      </c>
      <c r="D3" s="14" t="s">
        <v>157</v>
      </c>
      <c r="E3" s="14" t="s">
        <v>157</v>
      </c>
      <c r="F3" s="14" t="s">
        <v>157</v>
      </c>
      <c r="G3" s="14" t="s">
        <v>157</v>
      </c>
      <c r="H3" s="14" t="s">
        <v>157</v>
      </c>
      <c r="I3" s="14" t="s">
        <v>157</v>
      </c>
    </row>
    <row r="4" spans="1:9" x14ac:dyDescent="0.25">
      <c r="A4" s="13" t="s">
        <v>25</v>
      </c>
      <c r="B4" s="14" t="s">
        <v>157</v>
      </c>
      <c r="C4" s="14" t="s">
        <v>157</v>
      </c>
      <c r="D4" s="14" t="s">
        <v>157</v>
      </c>
      <c r="E4" s="14" t="s">
        <v>157</v>
      </c>
      <c r="F4" s="14" t="s">
        <v>157</v>
      </c>
      <c r="G4" s="14" t="s">
        <v>157</v>
      </c>
      <c r="H4" s="14" t="s">
        <v>157</v>
      </c>
      <c r="I4" s="14" t="s">
        <v>157</v>
      </c>
    </row>
    <row r="5" spans="1:9" x14ac:dyDescent="0.25">
      <c r="A5" s="13" t="s">
        <v>26</v>
      </c>
      <c r="B5" s="14" t="s">
        <v>157</v>
      </c>
      <c r="C5" s="14" t="s">
        <v>157</v>
      </c>
      <c r="D5" s="14" t="s">
        <v>157</v>
      </c>
      <c r="E5" s="14" t="s">
        <v>157</v>
      </c>
      <c r="F5" s="14" t="s">
        <v>157</v>
      </c>
      <c r="G5" s="14" t="s">
        <v>157</v>
      </c>
      <c r="H5" s="14" t="s">
        <v>157</v>
      </c>
      <c r="I5" s="14" t="s">
        <v>157</v>
      </c>
    </row>
    <row r="6" spans="1:9" x14ac:dyDescent="0.25">
      <c r="A6" s="13" t="s">
        <v>158</v>
      </c>
      <c r="B6" s="14" t="s">
        <v>157</v>
      </c>
      <c r="C6" s="14" t="s">
        <v>157</v>
      </c>
      <c r="D6" s="14" t="s">
        <v>157</v>
      </c>
      <c r="E6" s="14" t="s">
        <v>157</v>
      </c>
      <c r="F6" s="14" t="s">
        <v>157</v>
      </c>
      <c r="G6" s="14" t="s">
        <v>157</v>
      </c>
      <c r="H6" s="14" t="s">
        <v>157</v>
      </c>
      <c r="I6" s="14" t="s">
        <v>157</v>
      </c>
    </row>
    <row r="7" spans="1:9" x14ac:dyDescent="0.25">
      <c r="A7" s="13" t="s">
        <v>28</v>
      </c>
      <c r="B7" s="15" t="s">
        <v>159</v>
      </c>
      <c r="C7" s="14" t="s">
        <v>157</v>
      </c>
      <c r="D7" s="14" t="s">
        <v>157</v>
      </c>
      <c r="E7" s="14" t="s">
        <v>157</v>
      </c>
      <c r="F7" s="14" t="s">
        <v>157</v>
      </c>
      <c r="G7" s="14" t="s">
        <v>157</v>
      </c>
      <c r="H7" s="14" t="s">
        <v>157</v>
      </c>
      <c r="I7" s="14" t="s">
        <v>157</v>
      </c>
    </row>
    <row r="8" spans="1:9" x14ac:dyDescent="0.25">
      <c r="A8" s="13" t="s">
        <v>30</v>
      </c>
      <c r="B8" s="14" t="s">
        <v>157</v>
      </c>
      <c r="C8" s="14" t="s">
        <v>157</v>
      </c>
      <c r="D8" s="14" t="s">
        <v>157</v>
      </c>
      <c r="E8" s="14" t="s">
        <v>157</v>
      </c>
      <c r="F8" s="14" t="s">
        <v>157</v>
      </c>
      <c r="G8" s="14" t="s">
        <v>157</v>
      </c>
      <c r="H8" s="14" t="s">
        <v>157</v>
      </c>
      <c r="I8" s="14" t="s">
        <v>157</v>
      </c>
    </row>
    <row r="9" spans="1:9" x14ac:dyDescent="0.25">
      <c r="A9" s="13" t="s">
        <v>38</v>
      </c>
      <c r="B9" s="14" t="s">
        <v>157</v>
      </c>
      <c r="C9" s="14" t="s">
        <v>157</v>
      </c>
      <c r="D9" s="14" t="s">
        <v>157</v>
      </c>
      <c r="E9" s="14" t="s">
        <v>157</v>
      </c>
      <c r="F9" s="14" t="s">
        <v>157</v>
      </c>
      <c r="G9" s="14" t="s">
        <v>157</v>
      </c>
      <c r="H9" s="14" t="s">
        <v>157</v>
      </c>
      <c r="I9" s="14" t="s">
        <v>157</v>
      </c>
    </row>
    <row r="10" spans="1:9" x14ac:dyDescent="0.25">
      <c r="A10" s="13" t="s">
        <v>39</v>
      </c>
      <c r="B10" s="14" t="s">
        <v>157</v>
      </c>
      <c r="C10" s="14" t="s">
        <v>157</v>
      </c>
      <c r="D10" s="14" t="s">
        <v>157</v>
      </c>
      <c r="E10" s="14" t="s">
        <v>157</v>
      </c>
      <c r="F10" s="14" t="s">
        <v>157</v>
      </c>
      <c r="G10" s="14" t="s">
        <v>157</v>
      </c>
      <c r="H10" s="14" t="s">
        <v>157</v>
      </c>
      <c r="I10" s="14" t="s">
        <v>157</v>
      </c>
    </row>
    <row r="11" spans="1:9" x14ac:dyDescent="0.25">
      <c r="A11" s="13" t="s">
        <v>40</v>
      </c>
      <c r="B11" s="14" t="s">
        <v>157</v>
      </c>
      <c r="C11" s="14" t="s">
        <v>157</v>
      </c>
      <c r="D11" s="14" t="s">
        <v>157</v>
      </c>
      <c r="E11" s="14" t="s">
        <v>157</v>
      </c>
      <c r="F11" s="14" t="s">
        <v>157</v>
      </c>
      <c r="G11" s="14" t="s">
        <v>157</v>
      </c>
      <c r="H11" s="14" t="s">
        <v>157</v>
      </c>
      <c r="I11" s="14" t="s">
        <v>157</v>
      </c>
    </row>
    <row r="12" spans="1:9" x14ac:dyDescent="0.25">
      <c r="A12" s="13" t="s">
        <v>41</v>
      </c>
      <c r="B12" s="14" t="s">
        <v>157</v>
      </c>
      <c r="C12" s="14" t="s">
        <v>157</v>
      </c>
      <c r="D12" s="14" t="s">
        <v>157</v>
      </c>
      <c r="E12" s="14" t="s">
        <v>157</v>
      </c>
      <c r="F12" s="14" t="s">
        <v>157</v>
      </c>
      <c r="G12" s="14" t="s">
        <v>157</v>
      </c>
      <c r="H12" s="14" t="s">
        <v>157</v>
      </c>
      <c r="I12" s="14" t="s">
        <v>157</v>
      </c>
    </row>
    <row r="13" spans="1:9" x14ac:dyDescent="0.25">
      <c r="A13" s="13" t="s">
        <v>43</v>
      </c>
      <c r="B13" s="15" t="s">
        <v>159</v>
      </c>
      <c r="C13" s="15" t="s">
        <v>159</v>
      </c>
      <c r="D13" s="15" t="s">
        <v>159</v>
      </c>
      <c r="E13" s="15" t="s">
        <v>159</v>
      </c>
      <c r="F13" s="15" t="s">
        <v>159</v>
      </c>
      <c r="G13" s="15" t="s">
        <v>159</v>
      </c>
      <c r="H13" s="15" t="s">
        <v>159</v>
      </c>
      <c r="I13" s="15" t="s">
        <v>159</v>
      </c>
    </row>
    <row r="14" spans="1:9" x14ac:dyDescent="0.25">
      <c r="A14" s="13" t="s">
        <v>44</v>
      </c>
      <c r="B14" s="15" t="s">
        <v>159</v>
      </c>
      <c r="C14" s="15" t="s">
        <v>159</v>
      </c>
      <c r="D14" s="15" t="s">
        <v>159</v>
      </c>
      <c r="E14" s="15" t="s">
        <v>159</v>
      </c>
      <c r="F14" s="15" t="s">
        <v>159</v>
      </c>
      <c r="G14" s="15" t="s">
        <v>159</v>
      </c>
      <c r="H14" s="15" t="s">
        <v>159</v>
      </c>
      <c r="I14" s="15" t="s">
        <v>159</v>
      </c>
    </row>
    <row r="15" spans="1:9" x14ac:dyDescent="0.25">
      <c r="A15" s="13" t="s">
        <v>160</v>
      </c>
      <c r="B15" s="14" t="s">
        <v>157</v>
      </c>
      <c r="C15" s="14" t="s">
        <v>157</v>
      </c>
      <c r="D15" s="14" t="s">
        <v>157</v>
      </c>
      <c r="E15" s="14" t="s">
        <v>157</v>
      </c>
      <c r="F15" s="14" t="s">
        <v>157</v>
      </c>
      <c r="G15" s="14" t="s">
        <v>157</v>
      </c>
      <c r="H15" s="14" t="s">
        <v>157</v>
      </c>
      <c r="I15" s="14" t="s">
        <v>157</v>
      </c>
    </row>
    <row r="16" spans="1:9" x14ac:dyDescent="0.25">
      <c r="A16" s="13" t="s">
        <v>161</v>
      </c>
      <c r="B16" s="14" t="s">
        <v>157</v>
      </c>
      <c r="C16" s="14" t="s">
        <v>157</v>
      </c>
      <c r="D16" s="14" t="s">
        <v>157</v>
      </c>
      <c r="E16" s="14" t="s">
        <v>157</v>
      </c>
      <c r="F16" s="14" t="s">
        <v>157</v>
      </c>
      <c r="G16" s="14" t="s">
        <v>157</v>
      </c>
      <c r="H16" s="14" t="s">
        <v>157</v>
      </c>
      <c r="I16" s="14" t="s">
        <v>157</v>
      </c>
    </row>
    <row r="17" spans="1:9" x14ac:dyDescent="0.25">
      <c r="A17" s="13" t="s">
        <v>162</v>
      </c>
      <c r="B17" s="16" t="s">
        <v>163</v>
      </c>
      <c r="C17" s="14" t="s">
        <v>157</v>
      </c>
      <c r="D17" s="14" t="s">
        <v>157</v>
      </c>
      <c r="E17" s="14" t="s">
        <v>157</v>
      </c>
      <c r="F17" s="14" t="s">
        <v>157</v>
      </c>
      <c r="G17" s="14" t="s">
        <v>157</v>
      </c>
      <c r="H17" s="14" t="s">
        <v>157</v>
      </c>
      <c r="I17" s="14" t="s">
        <v>157</v>
      </c>
    </row>
    <row r="18" spans="1:9" x14ac:dyDescent="0.25">
      <c r="A18" s="13" t="s">
        <v>164</v>
      </c>
      <c r="B18" s="16" t="s">
        <v>163</v>
      </c>
      <c r="C18" s="14" t="s">
        <v>157</v>
      </c>
      <c r="D18" s="14" t="s">
        <v>157</v>
      </c>
      <c r="E18" s="14" t="s">
        <v>157</v>
      </c>
      <c r="F18" s="14" t="s">
        <v>157</v>
      </c>
      <c r="G18" s="14" t="s">
        <v>157</v>
      </c>
      <c r="H18" s="14" t="s">
        <v>157</v>
      </c>
      <c r="I18" s="14" t="s">
        <v>157</v>
      </c>
    </row>
    <row r="19" spans="1:9" x14ac:dyDescent="0.25">
      <c r="A19" s="13" t="s">
        <v>165</v>
      </c>
      <c r="B19" s="16" t="s">
        <v>163</v>
      </c>
      <c r="C19" s="14" t="s">
        <v>157</v>
      </c>
      <c r="D19" s="14" t="s">
        <v>157</v>
      </c>
      <c r="E19" s="14" t="s">
        <v>157</v>
      </c>
      <c r="F19" s="14" t="s">
        <v>157</v>
      </c>
      <c r="G19" s="14" t="s">
        <v>157</v>
      </c>
      <c r="H19" s="14" t="s">
        <v>157</v>
      </c>
      <c r="I19" s="14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zoomScaleNormal="100" workbookViewId="0">
      <selection activeCell="F10" sqref="F10"/>
    </sheetView>
  </sheetViews>
  <sheetFormatPr baseColWidth="10" defaultColWidth="8.7109375" defaultRowHeight="15" x14ac:dyDescent="0.25"/>
  <cols>
    <col min="1" max="2" width="13" customWidth="1"/>
    <col min="3" max="3" width="29.140625" bestFit="1" customWidth="1"/>
    <col min="4" max="13" width="13" customWidth="1"/>
  </cols>
  <sheetData>
    <row r="1" spans="1:13" ht="31.5" customHeight="1" x14ac:dyDescent="0.25">
      <c r="A1" s="3" t="s">
        <v>19</v>
      </c>
      <c r="B1" s="3" t="s">
        <v>34</v>
      </c>
      <c r="C1" s="3" t="s">
        <v>166</v>
      </c>
      <c r="D1" s="3" t="s">
        <v>21</v>
      </c>
      <c r="E1" s="3" t="s">
        <v>167</v>
      </c>
      <c r="F1" s="3" t="s">
        <v>168</v>
      </c>
      <c r="G1" s="3" t="s">
        <v>169</v>
      </c>
      <c r="H1" s="3" t="s">
        <v>170</v>
      </c>
      <c r="I1" s="3" t="s">
        <v>171</v>
      </c>
      <c r="J1" s="3" t="s">
        <v>172</v>
      </c>
      <c r="K1" s="3" t="s">
        <v>173</v>
      </c>
      <c r="L1" s="3" t="s">
        <v>174</v>
      </c>
      <c r="M1" s="3" t="s">
        <v>175</v>
      </c>
    </row>
    <row r="2" spans="1:13" x14ac:dyDescent="0.25">
      <c r="A2" s="17">
        <v>1</v>
      </c>
      <c r="B2" s="17" t="s">
        <v>176</v>
      </c>
      <c r="C2" s="18" t="s">
        <v>55</v>
      </c>
      <c r="D2" s="17" t="s">
        <v>53</v>
      </c>
      <c r="E2" s="19">
        <v>15000</v>
      </c>
      <c r="F2" s="17">
        <v>0</v>
      </c>
      <c r="G2" s="19">
        <v>0</v>
      </c>
      <c r="H2" s="19">
        <f t="shared" ref="H2:H9" si="0">F2*G2</f>
        <v>0</v>
      </c>
      <c r="I2" s="19">
        <v>0</v>
      </c>
      <c r="J2" s="20">
        <f t="shared" ref="J2:J9" si="1">I2-H2</f>
        <v>0</v>
      </c>
      <c r="K2" s="19">
        <f t="shared" ref="K2:K9" si="2">E2+I2</f>
        <v>15000</v>
      </c>
      <c r="L2" s="19">
        <v>15000</v>
      </c>
      <c r="M2" s="20">
        <f t="shared" ref="M2:M9" si="3">L2-K2</f>
        <v>0</v>
      </c>
    </row>
    <row r="3" spans="1:13" x14ac:dyDescent="0.25">
      <c r="A3" s="17">
        <v>2</v>
      </c>
      <c r="B3" s="17" t="s">
        <v>177</v>
      </c>
      <c r="C3" s="18" t="s">
        <v>74</v>
      </c>
      <c r="D3" s="17" t="s">
        <v>73</v>
      </c>
      <c r="E3" s="19">
        <v>4050</v>
      </c>
      <c r="F3" s="17">
        <v>48</v>
      </c>
      <c r="G3" s="19">
        <v>291</v>
      </c>
      <c r="H3" s="19">
        <f t="shared" si="0"/>
        <v>13968</v>
      </c>
      <c r="I3" s="19">
        <v>13986</v>
      </c>
      <c r="J3" s="20">
        <f t="shared" si="1"/>
        <v>18</v>
      </c>
      <c r="K3" s="19">
        <f t="shared" si="2"/>
        <v>18036</v>
      </c>
      <c r="L3" s="19">
        <v>18036</v>
      </c>
      <c r="M3" s="20">
        <f t="shared" si="3"/>
        <v>0</v>
      </c>
    </row>
    <row r="4" spans="1:13" x14ac:dyDescent="0.25">
      <c r="A4" s="17">
        <v>3</v>
      </c>
      <c r="B4" s="17" t="s">
        <v>178</v>
      </c>
      <c r="C4" s="18" t="s">
        <v>89</v>
      </c>
      <c r="D4" s="17" t="s">
        <v>73</v>
      </c>
      <c r="E4" s="19">
        <v>4500</v>
      </c>
      <c r="F4" s="17">
        <v>24</v>
      </c>
      <c r="G4" s="19">
        <v>543</v>
      </c>
      <c r="H4" s="19">
        <f t="shared" si="0"/>
        <v>13032</v>
      </c>
      <c r="I4" s="19">
        <v>13020</v>
      </c>
      <c r="J4" s="20">
        <f t="shared" si="1"/>
        <v>-12</v>
      </c>
      <c r="K4" s="19">
        <f t="shared" si="2"/>
        <v>17520</v>
      </c>
      <c r="L4" s="19">
        <v>17520</v>
      </c>
      <c r="M4" s="20">
        <f t="shared" si="3"/>
        <v>0</v>
      </c>
    </row>
    <row r="5" spans="1:13" x14ac:dyDescent="0.25">
      <c r="A5" s="17">
        <v>4</v>
      </c>
      <c r="B5" s="17" t="s">
        <v>179</v>
      </c>
      <c r="C5" s="18" t="s">
        <v>89</v>
      </c>
      <c r="D5" s="17" t="s">
        <v>73</v>
      </c>
      <c r="E5" s="19">
        <v>4500</v>
      </c>
      <c r="F5" s="17">
        <v>24</v>
      </c>
      <c r="G5" s="19">
        <v>543</v>
      </c>
      <c r="H5" s="19">
        <f t="shared" si="0"/>
        <v>13032</v>
      </c>
      <c r="I5" s="19">
        <v>13020</v>
      </c>
      <c r="J5" s="20">
        <f t="shared" si="1"/>
        <v>-12</v>
      </c>
      <c r="K5" s="19">
        <f t="shared" si="2"/>
        <v>17520</v>
      </c>
      <c r="L5" s="19">
        <v>17520</v>
      </c>
      <c r="M5" s="20">
        <f t="shared" si="3"/>
        <v>0</v>
      </c>
    </row>
    <row r="6" spans="1:13" x14ac:dyDescent="0.25">
      <c r="A6" s="17">
        <v>5</v>
      </c>
      <c r="B6" s="17" t="s">
        <v>180</v>
      </c>
      <c r="C6" s="18" t="s">
        <v>105</v>
      </c>
      <c r="D6" s="17" t="s">
        <v>73</v>
      </c>
      <c r="E6" s="19">
        <v>4500</v>
      </c>
      <c r="F6" s="17">
        <v>72</v>
      </c>
      <c r="G6" s="19">
        <v>251</v>
      </c>
      <c r="H6" s="19">
        <f t="shared" si="0"/>
        <v>18072</v>
      </c>
      <c r="I6" s="19">
        <v>18060</v>
      </c>
      <c r="J6" s="20">
        <f t="shared" si="1"/>
        <v>-12</v>
      </c>
      <c r="K6" s="19">
        <f t="shared" si="2"/>
        <v>22560</v>
      </c>
      <c r="L6" s="19">
        <v>22560</v>
      </c>
      <c r="M6" s="20">
        <f t="shared" si="3"/>
        <v>0</v>
      </c>
    </row>
    <row r="7" spans="1:13" x14ac:dyDescent="0.25">
      <c r="A7" s="17">
        <v>6</v>
      </c>
      <c r="B7" s="17" t="s">
        <v>181</v>
      </c>
      <c r="C7" s="18" t="s">
        <v>116</v>
      </c>
      <c r="D7" s="17" t="s">
        <v>73</v>
      </c>
      <c r="E7" s="19">
        <v>4500</v>
      </c>
      <c r="F7" s="17">
        <v>48</v>
      </c>
      <c r="G7" s="19">
        <v>324</v>
      </c>
      <c r="H7" s="19">
        <f t="shared" si="0"/>
        <v>15552</v>
      </c>
      <c r="I7" s="19">
        <v>15540</v>
      </c>
      <c r="J7" s="20">
        <f t="shared" si="1"/>
        <v>-12</v>
      </c>
      <c r="K7" s="19">
        <f t="shared" si="2"/>
        <v>20040</v>
      </c>
      <c r="L7" s="19">
        <v>20040</v>
      </c>
      <c r="M7" s="20">
        <f t="shared" si="3"/>
        <v>0</v>
      </c>
    </row>
    <row r="8" spans="1:13" x14ac:dyDescent="0.25">
      <c r="A8" s="17">
        <v>7</v>
      </c>
      <c r="B8" s="17" t="s">
        <v>182</v>
      </c>
      <c r="C8" s="18" t="s">
        <v>127</v>
      </c>
      <c r="D8" s="17" t="s">
        <v>73</v>
      </c>
      <c r="E8" s="19">
        <v>4500</v>
      </c>
      <c r="F8" s="17">
        <v>36</v>
      </c>
      <c r="G8" s="19">
        <v>397</v>
      </c>
      <c r="H8" s="19">
        <f t="shared" si="0"/>
        <v>14292</v>
      </c>
      <c r="I8" s="19">
        <v>14280</v>
      </c>
      <c r="J8" s="20">
        <f t="shared" si="1"/>
        <v>-12</v>
      </c>
      <c r="K8" s="19">
        <f t="shared" si="2"/>
        <v>18780</v>
      </c>
      <c r="L8" s="19">
        <v>18780</v>
      </c>
      <c r="M8" s="20">
        <f t="shared" si="3"/>
        <v>0</v>
      </c>
    </row>
    <row r="9" spans="1:13" x14ac:dyDescent="0.25">
      <c r="A9" s="17">
        <v>8</v>
      </c>
      <c r="B9" s="17" t="s">
        <v>183</v>
      </c>
      <c r="C9" s="18" t="s">
        <v>138</v>
      </c>
      <c r="D9" s="17" t="s">
        <v>73</v>
      </c>
      <c r="E9" s="19">
        <v>4500</v>
      </c>
      <c r="F9" s="17">
        <v>36</v>
      </c>
      <c r="G9" s="19">
        <v>397</v>
      </c>
      <c r="H9" s="19">
        <f t="shared" si="0"/>
        <v>14292</v>
      </c>
      <c r="I9" s="19">
        <v>14280</v>
      </c>
      <c r="J9" s="20">
        <f t="shared" si="1"/>
        <v>-12</v>
      </c>
      <c r="K9" s="19">
        <f t="shared" si="2"/>
        <v>18780</v>
      </c>
      <c r="L9" s="19">
        <v>18780</v>
      </c>
      <c r="M9" s="20">
        <f t="shared" si="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Notas</vt:lpstr>
      <vt:lpstr>Boletos FIRMA 12-5-26</vt:lpstr>
      <vt:lpstr>Hoja1</vt:lpstr>
      <vt:lpstr>Checklist completitud</vt:lpstr>
      <vt:lpstr>Validación montos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Hugo Guindani</cp:lastModifiedBy>
  <cp:revision>0</cp:revision>
  <dcterms:created xsi:type="dcterms:W3CDTF">2026-05-04T15:07:19Z</dcterms:created>
  <dcterms:modified xsi:type="dcterms:W3CDTF">2026-05-05T16:35:34Z</dcterms:modified>
  <dc:language>en-US</dc:language>
</cp:coreProperties>
</file>